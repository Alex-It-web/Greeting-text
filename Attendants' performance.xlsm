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dom\OneDrive\Desktop\"/>
    </mc:Choice>
  </mc:AlternateContent>
  <xr:revisionPtr revIDLastSave="0" documentId="13_ncr:1_{5EC90484-2CAB-4709-9782-E74642354D73}" xr6:coauthVersionLast="45" xr6:coauthVersionMax="45" xr10:uidLastSave="{00000000-0000-0000-0000-000000000000}"/>
  <bookViews>
    <workbookView xWindow="-120" yWindow="-120" windowWidth="21840" windowHeight="13140" tabRatio="376" activeTab="6" xr2:uid="{00000000-000D-0000-FFFF-FFFF00000000}"/>
  </bookViews>
  <sheets>
    <sheet name="Database" sheetId="3" r:id="rId1"/>
    <sheet name="Leader_Board" sheetId="8" state="hidden" r:id="rId2"/>
    <sheet name="ddataaa" sheetId="5" state="hidden" r:id="rId3"/>
    <sheet name="Report" sheetId="4" r:id="rId4"/>
    <sheet name="sheet" sheetId="2" r:id="rId5"/>
    <sheet name="Show" sheetId="9" state="hidden" r:id="rId6"/>
    <sheet name="Staff" sheetId="7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4" l="1"/>
  <c r="F18" i="4"/>
  <c r="G4" i="4"/>
  <c r="F4" i="4"/>
  <c r="E4" i="4" l="1"/>
  <c r="D4" i="4"/>
  <c r="B15" i="4"/>
  <c r="C4" i="4"/>
  <c r="B4" i="4"/>
  <c r="H4" i="4" l="1"/>
  <c r="I4" i="4"/>
  <c r="A5" i="4" l="1"/>
  <c r="A6" i="4" l="1"/>
  <c r="F5" i="4"/>
  <c r="G5" i="4"/>
  <c r="C5" i="4"/>
  <c r="E5" i="4"/>
  <c r="D5" i="4"/>
  <c r="B5" i="4"/>
  <c r="H5" i="4" l="1"/>
  <c r="I5" i="4"/>
  <c r="A7" i="4"/>
  <c r="F6" i="4"/>
  <c r="G6" i="4"/>
  <c r="E6" i="4"/>
  <c r="D6" i="4"/>
  <c r="C6" i="4"/>
  <c r="B6" i="4"/>
  <c r="I6" i="4" l="1"/>
  <c r="A8" i="4"/>
  <c r="G7" i="4"/>
  <c r="F7" i="4"/>
  <c r="D7" i="4"/>
  <c r="C7" i="4"/>
  <c r="E7" i="4"/>
  <c r="B7" i="4"/>
  <c r="H6" i="4"/>
  <c r="I7" i="4" l="1"/>
  <c r="H7" i="4"/>
  <c r="A9" i="4"/>
  <c r="G8" i="4"/>
  <c r="F8" i="4"/>
  <c r="D8" i="4"/>
  <c r="E8" i="4"/>
  <c r="C8" i="4"/>
  <c r="B8" i="4"/>
  <c r="H8" i="4" l="1"/>
  <c r="I8" i="4"/>
  <c r="A10" i="4"/>
  <c r="G9" i="4"/>
  <c r="F9" i="4"/>
  <c r="C9" i="4"/>
  <c r="E9" i="4"/>
  <c r="D9" i="4"/>
  <c r="B9" i="4"/>
  <c r="A11" i="4" l="1"/>
  <c r="G10" i="4"/>
  <c r="F10" i="4"/>
  <c r="E10" i="4"/>
  <c r="D10" i="4"/>
  <c r="C10" i="4"/>
  <c r="B10" i="4"/>
  <c r="I9" i="4"/>
  <c r="H9" i="4"/>
  <c r="H10" i="4" l="1"/>
  <c r="A12" i="4"/>
  <c r="F11" i="4"/>
  <c r="G11" i="4"/>
  <c r="D11" i="4"/>
  <c r="B11" i="4"/>
  <c r="C11" i="4"/>
  <c r="E11" i="4"/>
  <c r="I10" i="4"/>
  <c r="H11" i="4" l="1"/>
  <c r="I11" i="4"/>
  <c r="A13" i="4"/>
  <c r="F12" i="4"/>
  <c r="G12" i="4"/>
  <c r="D12" i="4"/>
  <c r="B12" i="4"/>
  <c r="C12" i="4"/>
  <c r="E12" i="4"/>
  <c r="H12" i="4" l="1"/>
  <c r="I12" i="4"/>
  <c r="A14" i="4"/>
  <c r="G13" i="4"/>
  <c r="F13" i="4"/>
  <c r="B13" i="4"/>
  <c r="C13" i="4"/>
  <c r="D13" i="4"/>
  <c r="E13" i="4"/>
  <c r="I13" i="4" l="1"/>
  <c r="H13" i="4"/>
  <c r="A15" i="4"/>
  <c r="F14" i="4"/>
  <c r="G14" i="4"/>
  <c r="E14" i="4"/>
  <c r="D14" i="4"/>
  <c r="B14" i="4"/>
  <c r="C14" i="4"/>
  <c r="H14" i="4" l="1"/>
  <c r="I14" i="4"/>
  <c r="A16" i="4"/>
  <c r="G15" i="4"/>
  <c r="F15" i="4"/>
  <c r="E15" i="4"/>
  <c r="D15" i="4"/>
  <c r="C15" i="4"/>
  <c r="I15" i="4" l="1"/>
  <c r="H15" i="4"/>
  <c r="A17" i="4"/>
  <c r="D17" i="4" s="1"/>
  <c r="G16" i="4"/>
  <c r="F16" i="4"/>
  <c r="D16" i="4"/>
  <c r="B16" i="4"/>
  <c r="C16" i="4"/>
  <c r="E16" i="4"/>
  <c r="I16" i="4" l="1"/>
  <c r="H16" i="4"/>
  <c r="A18" i="4"/>
  <c r="G17" i="4"/>
  <c r="F17" i="4"/>
  <c r="B17" i="4"/>
  <c r="C17" i="4"/>
  <c r="E17" i="4"/>
  <c r="I17" i="4" l="1"/>
  <c r="A19" i="4"/>
  <c r="G18" i="4"/>
  <c r="E18" i="4"/>
  <c r="D18" i="4"/>
  <c r="B18" i="4"/>
  <c r="C18" i="4"/>
  <c r="H17" i="4"/>
  <c r="H18" i="4" l="1"/>
  <c r="A20" i="4"/>
  <c r="F19" i="4"/>
  <c r="G19" i="4"/>
  <c r="D19" i="4"/>
  <c r="B19" i="4"/>
  <c r="C19" i="4"/>
  <c r="E19" i="4"/>
  <c r="I18" i="4"/>
  <c r="I19" i="4" l="1"/>
  <c r="H19" i="4"/>
  <c r="A21" i="4"/>
  <c r="F20" i="4"/>
  <c r="G20" i="4"/>
  <c r="D20" i="4"/>
  <c r="B20" i="4"/>
  <c r="C20" i="4"/>
  <c r="E20" i="4"/>
  <c r="I20" i="4" l="1"/>
  <c r="H20" i="4"/>
  <c r="A22" i="4"/>
  <c r="G21" i="4"/>
  <c r="F21" i="4"/>
  <c r="B21" i="4"/>
  <c r="C21" i="4"/>
  <c r="E21" i="4"/>
  <c r="D21" i="4"/>
  <c r="I21" i="4" l="1"/>
  <c r="A23" i="4"/>
  <c r="F22" i="4"/>
  <c r="G22" i="4"/>
  <c r="E22" i="4"/>
  <c r="D22" i="4"/>
  <c r="C22" i="4"/>
  <c r="B22" i="4"/>
  <c r="H21" i="4"/>
  <c r="H22" i="4" l="1"/>
  <c r="I22" i="4"/>
  <c r="A24" i="4"/>
  <c r="G23" i="4"/>
  <c r="F23" i="4"/>
  <c r="D23" i="4"/>
  <c r="B23" i="4"/>
  <c r="C23" i="4"/>
  <c r="E23" i="4"/>
  <c r="I23" i="4" l="1"/>
  <c r="H23" i="4"/>
  <c r="A25" i="4"/>
  <c r="G24" i="4"/>
  <c r="F24" i="4"/>
  <c r="D24" i="4"/>
  <c r="B24" i="4"/>
  <c r="C24" i="4"/>
  <c r="E24" i="4"/>
  <c r="I24" i="4" l="1"/>
  <c r="H24" i="4"/>
  <c r="A26" i="4"/>
  <c r="G25" i="4"/>
  <c r="F25" i="4"/>
  <c r="B25" i="4"/>
  <c r="C25" i="4"/>
  <c r="D25" i="4"/>
  <c r="E25" i="4"/>
  <c r="H25" i="4" l="1"/>
  <c r="I25" i="4"/>
  <c r="A27" i="4"/>
  <c r="G26" i="4"/>
  <c r="F26" i="4"/>
  <c r="E26" i="4"/>
  <c r="D26" i="4"/>
  <c r="B26" i="4"/>
  <c r="C26" i="4"/>
  <c r="I26" i="4" l="1"/>
  <c r="A28" i="4"/>
  <c r="G27" i="4"/>
  <c r="F27" i="4"/>
  <c r="D27" i="4"/>
  <c r="B27" i="4"/>
  <c r="C27" i="4"/>
  <c r="E27" i="4"/>
  <c r="H26" i="4"/>
  <c r="I27" i="4" l="1"/>
  <c r="H27" i="4"/>
  <c r="A29" i="4"/>
  <c r="G28" i="4"/>
  <c r="F28" i="4"/>
  <c r="D28" i="4"/>
  <c r="B28" i="4"/>
  <c r="C28" i="4"/>
  <c r="E28" i="4"/>
  <c r="H28" i="4" l="1"/>
  <c r="I28" i="4"/>
  <c r="A30" i="4"/>
  <c r="G29" i="4"/>
  <c r="F29" i="4"/>
  <c r="B29" i="4"/>
  <c r="C29" i="4"/>
  <c r="E29" i="4"/>
  <c r="D29" i="4"/>
  <c r="H29" i="4" l="1"/>
  <c r="I29" i="4"/>
  <c r="A31" i="4"/>
  <c r="F30" i="4"/>
  <c r="G30" i="4"/>
  <c r="E30" i="4"/>
  <c r="D30" i="4"/>
  <c r="C30" i="4"/>
  <c r="B30" i="4"/>
  <c r="H30" i="4" l="1"/>
  <c r="I30" i="4"/>
  <c r="A32" i="4"/>
  <c r="F31" i="4"/>
  <c r="G31" i="4"/>
  <c r="D31" i="4"/>
  <c r="B31" i="4"/>
  <c r="C31" i="4"/>
  <c r="E31" i="4"/>
  <c r="H31" i="4" l="1"/>
  <c r="A33" i="4"/>
  <c r="F32" i="4"/>
  <c r="G32" i="4"/>
  <c r="D32" i="4"/>
  <c r="B32" i="4"/>
  <c r="C32" i="4"/>
  <c r="E32" i="4"/>
  <c r="I31" i="4"/>
  <c r="I32" i="4" l="1"/>
  <c r="H32" i="4"/>
  <c r="A34" i="4"/>
  <c r="G33" i="4"/>
  <c r="F33" i="4"/>
  <c r="B33" i="4"/>
  <c r="C33" i="4"/>
  <c r="E33" i="4"/>
  <c r="D33" i="4"/>
  <c r="I33" i="4" l="1"/>
  <c r="G34" i="4"/>
  <c r="G35" i="4" s="1"/>
  <c r="F34" i="4"/>
  <c r="F35" i="4" s="1"/>
  <c r="E34" i="4"/>
  <c r="E35" i="4" s="1"/>
  <c r="D34" i="4"/>
  <c r="D35" i="4" s="1"/>
  <c r="B34" i="4"/>
  <c r="C34" i="4"/>
  <c r="H33" i="4"/>
  <c r="I34" i="4" l="1"/>
  <c r="I35" i="4" s="1"/>
  <c r="C35" i="4"/>
  <c r="H34" i="4"/>
  <c r="H35" i="4" s="1"/>
  <c r="B35" i="4"/>
</calcChain>
</file>

<file path=xl/sharedStrings.xml><?xml version="1.0" encoding="utf-8"?>
<sst xmlns="http://schemas.openxmlformats.org/spreadsheetml/2006/main" count="152" uniqueCount="29">
  <si>
    <t>PMS</t>
  </si>
  <si>
    <t>AGO</t>
  </si>
  <si>
    <t>NAME</t>
  </si>
  <si>
    <t>BULK</t>
  </si>
  <si>
    <t>CREDIT</t>
  </si>
  <si>
    <t>RETAIL</t>
  </si>
  <si>
    <t>TOTAL</t>
  </si>
  <si>
    <t>DATE</t>
  </si>
  <si>
    <t>Naminya Henry</t>
  </si>
  <si>
    <t>Nakadama Sikola</t>
  </si>
  <si>
    <t>Maganda Ivan</t>
  </si>
  <si>
    <t>Balikabona Abasa</t>
  </si>
  <si>
    <t xml:space="preserve"> </t>
  </si>
  <si>
    <t>No.</t>
  </si>
  <si>
    <t>FUEL</t>
  </si>
  <si>
    <t>Name</t>
  </si>
  <si>
    <t>Contact</t>
  </si>
  <si>
    <t>Position</t>
  </si>
  <si>
    <t>TOTAL SALES</t>
  </si>
  <si>
    <t>February Performance for</t>
  </si>
  <si>
    <t>PREPARED BY</t>
  </si>
  <si>
    <t>SIGNED BY</t>
  </si>
  <si>
    <t>% SALES</t>
  </si>
  <si>
    <t>Abby Stevens</t>
  </si>
  <si>
    <t>Attendant</t>
  </si>
  <si>
    <t>Daniel Dylon</t>
  </si>
  <si>
    <t>Mathias Peter</t>
  </si>
  <si>
    <t>Supervisor</t>
  </si>
  <si>
    <t>BIK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</si>
</sst>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[$-409]d\-mmm\-yy;@"/>
    <numFmt numFmtId="166" formatCode="_(* #,##0.000_);_(* \(#,##0.000\);_(* &quot;-&quot;???_);_(@_)"/>
    <numFmt numFmtId="167" formatCode="#,#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Franklin Gothic Demi"/>
      <family val="2"/>
    </font>
    <font>
      <sz val="11"/>
      <name val="Calibri"/>
      <family val="2"/>
      <scheme val="minor"/>
    </font>
    <font>
      <b/>
      <sz val="12"/>
      <color theme="1"/>
      <name val="Franklin Gothic Demi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rgb="FF00B050"/>
      </left>
      <right style="hair">
        <color rgb="FF00B050"/>
      </right>
      <top style="hair">
        <color rgb="FF00B050"/>
      </top>
      <bottom style="hair">
        <color rgb="FF00B050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0" borderId="0" xfId="0" applyBorder="1"/>
    <xf numFmtId="164" fontId="1" fillId="2" borderId="0" xfId="0" applyNumberFormat="1" applyFont="1" applyFill="1"/>
    <xf numFmtId="164" fontId="0" fillId="0" borderId="0" xfId="0" applyNumberFormat="1"/>
    <xf numFmtId="15" fontId="0" fillId="0" borderId="0" xfId="0" applyNumberFormat="1"/>
    <xf numFmtId="0" fontId="0" fillId="3" borderId="0" xfId="0" applyFill="1"/>
    <xf numFmtId="0" fontId="0" fillId="4" borderId="0" xfId="0" applyFill="1"/>
    <xf numFmtId="0" fontId="1" fillId="2" borderId="0" xfId="0" applyFont="1" applyFill="1" applyAlignment="1">
      <alignment horizontal="left"/>
    </xf>
    <xf numFmtId="164" fontId="1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 applyAlignment="1"/>
    <xf numFmtId="165" fontId="0" fillId="0" borderId="14" xfId="0" applyNumberFormat="1" applyBorder="1"/>
    <xf numFmtId="0" fontId="1" fillId="5" borderId="19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" fillId="5" borderId="19" xfId="0" applyFont="1" applyFill="1" applyBorder="1" applyAlignment="1">
      <alignment horizontal="left"/>
    </xf>
    <xf numFmtId="0" fontId="0" fillId="0" borderId="19" xfId="0" applyBorder="1" applyAlignment="1">
      <alignment horizontal="left"/>
    </xf>
    <xf numFmtId="166" fontId="0" fillId="0" borderId="0" xfId="0" applyNumberFormat="1" applyFill="1" applyBorder="1" applyAlignment="1"/>
    <xf numFmtId="43" fontId="0" fillId="0" borderId="0" xfId="0" applyNumberFormat="1"/>
    <xf numFmtId="9" fontId="0" fillId="0" borderId="0" xfId="0" applyNumberFormat="1"/>
    <xf numFmtId="41" fontId="0" fillId="0" borderId="12" xfId="0" applyNumberFormat="1" applyBorder="1" applyAlignment="1">
      <alignment horizontal="center"/>
    </xf>
    <xf numFmtId="41" fontId="0" fillId="0" borderId="6" xfId="0" applyNumberFormat="1" applyBorder="1" applyAlignment="1">
      <alignment horizontal="center"/>
    </xf>
    <xf numFmtId="41" fontId="0" fillId="0" borderId="6" xfId="0" applyNumberFormat="1" applyFill="1" applyBorder="1" applyAlignment="1">
      <alignment horizontal="center"/>
    </xf>
    <xf numFmtId="41" fontId="0" fillId="0" borderId="17" xfId="0" applyNumberFormat="1" applyBorder="1"/>
    <xf numFmtId="41" fontId="0" fillId="0" borderId="9" xfId="0" applyNumberFormat="1" applyBorder="1"/>
    <xf numFmtId="41" fontId="0" fillId="0" borderId="7" xfId="0" applyNumberFormat="1" applyBorder="1"/>
    <xf numFmtId="41" fontId="0" fillId="0" borderId="16" xfId="0" applyNumberFormat="1" applyBorder="1"/>
    <xf numFmtId="41" fontId="0" fillId="0" borderId="10" xfId="0" applyNumberFormat="1" applyBorder="1"/>
    <xf numFmtId="41" fontId="0" fillId="0" borderId="8" xfId="0" applyNumberFormat="1" applyBorder="1"/>
    <xf numFmtId="41" fontId="0" fillId="0" borderId="18" xfId="0" applyNumberFormat="1" applyBorder="1"/>
    <xf numFmtId="41" fontId="0" fillId="0" borderId="13" xfId="0" applyNumberFormat="1" applyBorder="1"/>
    <xf numFmtId="41" fontId="0" fillId="0" borderId="1" xfId="0" applyNumberFormat="1" applyBorder="1"/>
    <xf numFmtId="41" fontId="0" fillId="0" borderId="11" xfId="0" applyNumberFormat="1" applyBorder="1"/>
    <xf numFmtId="41" fontId="0" fillId="0" borderId="3" xfId="0" applyNumberFormat="1" applyBorder="1"/>
    <xf numFmtId="41" fontId="0" fillId="0" borderId="2" xfId="0" applyNumberFormat="1" applyBorder="1" applyAlignment="1"/>
    <xf numFmtId="41" fontId="0" fillId="0" borderId="0" xfId="0" applyNumberFormat="1" applyBorder="1"/>
    <xf numFmtId="41" fontId="0" fillId="0" borderId="0" xfId="0" applyNumberFormat="1"/>
    <xf numFmtId="0" fontId="6" fillId="0" borderId="0" xfId="0" applyFont="1" applyBorder="1"/>
    <xf numFmtId="0" fontId="0" fillId="0" borderId="0" xfId="0" applyFill="1"/>
    <xf numFmtId="167" fontId="0" fillId="0" borderId="0" xfId="0" applyNumberFormat="1"/>
    <xf numFmtId="0" fontId="6" fillId="0" borderId="2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41" fontId="4" fillId="0" borderId="4" xfId="0" applyNumberFormat="1" applyFont="1" applyBorder="1" applyAlignment="1">
      <alignment horizontal="right"/>
    </xf>
    <xf numFmtId="0" fontId="5" fillId="0" borderId="0" xfId="0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41" fontId="2" fillId="0" borderId="5" xfId="0" applyNumberFormat="1" applyFont="1" applyBorder="1" applyAlignment="1">
      <alignment horizontal="center"/>
    </xf>
    <xf numFmtId="41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41" fontId="1" fillId="0" borderId="4" xfId="0" applyNumberFormat="1" applyFont="1" applyBorder="1" applyAlignment="1">
      <alignment horizontal="right" vertical="center"/>
    </xf>
    <xf numFmtId="41" fontId="2" fillId="0" borderId="4" xfId="0" applyNumberFormat="1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EEBF7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0</xdr:row>
          <xdr:rowOff>19050</xdr:rowOff>
        </xdr:from>
        <xdr:to>
          <xdr:col>9</xdr:col>
          <xdr:colOff>419100</xdr:colOff>
          <xdr:row>0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0</xdr:row>
      <xdr:rowOff>57150</xdr:rowOff>
    </xdr:from>
    <xdr:ext cx="4309641" cy="30480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57150"/>
          <a:ext cx="4309641" cy="30480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LAKE</a:t>
          </a:r>
          <a:r>
            <a:rPr lang="en-US" sz="32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OIL UGANDA LTD</a:t>
          </a:r>
          <a:endParaRPr lang="en-US" sz="32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2</xdr:row>
      <xdr:rowOff>76200</xdr:rowOff>
    </xdr:from>
    <xdr:to>
      <xdr:col>13</xdr:col>
      <xdr:colOff>295275</xdr:colOff>
      <xdr:row>26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76351" y="457200"/>
          <a:ext cx="6943724" cy="4610100"/>
        </a:xfrm>
        <a:prstGeom prst="rect">
          <a:avLst/>
        </a:prstGeom>
        <a:gradFill flip="none" rotWithShape="1">
          <a:gsLst>
            <a:gs pos="0">
              <a:srgbClr val="00B0F0"/>
            </a:gs>
            <a:gs pos="50000">
              <a:srgbClr val="00B0F0"/>
            </a:gs>
            <a:gs pos="100000">
              <a:schemeClr val="accent5">
                <a:lumMod val="40000"/>
                <a:lumOff val="60000"/>
              </a:schemeClr>
            </a:gs>
          </a:gsLst>
          <a:lin ang="8100000" scaled="1"/>
          <a:tileRect/>
        </a:gra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333376</xdr:colOff>
      <xdr:row>3</xdr:row>
      <xdr:rowOff>66674</xdr:rowOff>
    </xdr:from>
    <xdr:to>
      <xdr:col>4</xdr:col>
      <xdr:colOff>504826</xdr:colOff>
      <xdr:row>4</xdr:row>
      <xdr:rowOff>114299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162176" y="638174"/>
          <a:ext cx="781050" cy="238125"/>
        </a:xfrm>
        <a:prstGeom prst="rect">
          <a:avLst/>
        </a:prstGeom>
        <a:solidFill>
          <a:srgbClr val="FFFF00"/>
        </a:solidFill>
        <a:ln w="381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6</xdr:col>
      <xdr:colOff>219076</xdr:colOff>
      <xdr:row>3</xdr:row>
      <xdr:rowOff>76201</xdr:rowOff>
    </xdr:from>
    <xdr:to>
      <xdr:col>7</xdr:col>
      <xdr:colOff>542926</xdr:colOff>
      <xdr:row>4</xdr:row>
      <xdr:rowOff>95251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3876676" y="647701"/>
          <a:ext cx="933450" cy="209550"/>
        </a:xfrm>
        <a:prstGeom prst="rect">
          <a:avLst/>
        </a:prstGeom>
        <a:solidFill>
          <a:srgbClr val="FFFF00"/>
        </a:solidFill>
        <a:ln w="381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Segoe UI" panose="020B0502040204020203" pitchFamily="34" charset="0"/>
              <a:cs typeface="Segoe UI" panose="020B0502040204020203" pitchFamily="34" charset="0"/>
            </a:rPr>
            <a:t>Stock</a:t>
          </a:r>
          <a:r>
            <a:rPr lang="en-US" sz="900" baseline="0">
              <a:latin typeface="Segoe UI" panose="020B0502040204020203" pitchFamily="34" charset="0"/>
              <a:cs typeface="Segoe UI" panose="020B0502040204020203" pitchFamily="34" charset="0"/>
            </a:rPr>
            <a:t> Analysis</a:t>
          </a:r>
          <a:endParaRPr lang="en-US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590551</xdr:colOff>
      <xdr:row>3</xdr:row>
      <xdr:rowOff>66674</xdr:rowOff>
    </xdr:from>
    <xdr:to>
      <xdr:col>6</xdr:col>
      <xdr:colOff>152400</xdr:colOff>
      <xdr:row>4</xdr:row>
      <xdr:rowOff>114299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3028951" y="638174"/>
          <a:ext cx="781049" cy="238125"/>
        </a:xfrm>
        <a:prstGeom prst="rect">
          <a:avLst/>
        </a:prstGeom>
        <a:solidFill>
          <a:srgbClr val="FFFF00"/>
        </a:solidFill>
        <a:ln w="381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Segoe UI" panose="020B0502040204020203" pitchFamily="34" charset="0"/>
              <a:cs typeface="Segoe UI" panose="020B0502040204020203" pitchFamily="34" charset="0"/>
            </a:rPr>
            <a:t>Sales</a:t>
          </a:r>
          <a:r>
            <a:rPr lang="en-US" sz="900" baseline="0">
              <a:latin typeface="Segoe UI" panose="020B0502040204020203" pitchFamily="34" charset="0"/>
              <a:cs typeface="Segoe UI" panose="020B0502040204020203" pitchFamily="34" charset="0"/>
            </a:rPr>
            <a:t> Value</a:t>
          </a:r>
          <a:endParaRPr lang="en-US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0</xdr:colOff>
      <xdr:row>3</xdr:row>
      <xdr:rowOff>66675</xdr:rowOff>
    </xdr:from>
    <xdr:to>
      <xdr:col>9</xdr:col>
      <xdr:colOff>85725</xdr:colOff>
      <xdr:row>4</xdr:row>
      <xdr:rowOff>114300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4876800" y="638175"/>
          <a:ext cx="695325" cy="238125"/>
        </a:xfrm>
        <a:prstGeom prst="rect">
          <a:avLst/>
        </a:prstGeom>
        <a:solidFill>
          <a:srgbClr val="FFFF00"/>
        </a:solidFill>
        <a:ln w="381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Segoe UI" panose="020B0502040204020203" pitchFamily="34" charset="0"/>
              <a:cs typeface="Segoe UI" panose="020B0502040204020203" pitchFamily="34" charset="0"/>
            </a:rPr>
            <a:t>Balancing</a:t>
          </a:r>
        </a:p>
      </xdr:txBody>
    </xdr:sp>
    <xdr:clientData/>
  </xdr:twoCellAnchor>
  <xdr:twoCellAnchor>
    <xdr:from>
      <xdr:col>9</xdr:col>
      <xdr:colOff>152401</xdr:colOff>
      <xdr:row>3</xdr:row>
      <xdr:rowOff>95251</xdr:rowOff>
    </xdr:from>
    <xdr:to>
      <xdr:col>10</xdr:col>
      <xdr:colOff>419101</xdr:colOff>
      <xdr:row>4</xdr:row>
      <xdr:rowOff>114301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638801" y="666751"/>
          <a:ext cx="876300" cy="209550"/>
        </a:xfrm>
        <a:prstGeom prst="rect">
          <a:avLst/>
        </a:prstGeom>
        <a:solidFill>
          <a:srgbClr val="FFFF00"/>
        </a:solidFill>
        <a:ln w="381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Segoe UI" panose="020B0502040204020203" pitchFamily="34" charset="0"/>
              <a:cs typeface="Segoe UI" panose="020B0502040204020203" pitchFamily="34" charset="0"/>
            </a:rPr>
            <a:t>Credit</a:t>
          </a:r>
          <a:r>
            <a:rPr lang="en-US" sz="900" baseline="0">
              <a:latin typeface="Segoe UI" panose="020B0502040204020203" pitchFamily="34" charset="0"/>
              <a:cs typeface="Segoe UI" panose="020B0502040204020203" pitchFamily="34" charset="0"/>
            </a:rPr>
            <a:t> Details</a:t>
          </a:r>
          <a:endParaRPr lang="en-US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447676</xdr:colOff>
      <xdr:row>3</xdr:row>
      <xdr:rowOff>85725</xdr:rowOff>
    </xdr:from>
    <xdr:to>
      <xdr:col>12</xdr:col>
      <xdr:colOff>19050</xdr:colOff>
      <xdr:row>4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6543676" y="657225"/>
          <a:ext cx="790574" cy="209550"/>
        </a:xfrm>
        <a:prstGeom prst="rect">
          <a:avLst/>
        </a:prstGeom>
        <a:solidFill>
          <a:srgbClr val="FFFF00"/>
        </a:solidFill>
        <a:ln w="381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Segoe UI" panose="020B0502040204020203" pitchFamily="34" charset="0"/>
              <a:cs typeface="Segoe UI" panose="020B0502040204020203" pitchFamily="34" charset="0"/>
            </a:rPr>
            <a:t>Oil</a:t>
          </a:r>
          <a:r>
            <a:rPr lang="en-US" sz="900" baseline="0">
              <a:latin typeface="Segoe UI" panose="020B0502040204020203" pitchFamily="34" charset="0"/>
              <a:cs typeface="Segoe UI" panose="020B0502040204020203" pitchFamily="34" charset="0"/>
            </a:rPr>
            <a:t> and Gas</a:t>
          </a:r>
          <a:endParaRPr lang="en-US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57151</xdr:colOff>
      <xdr:row>3</xdr:row>
      <xdr:rowOff>85725</xdr:rowOff>
    </xdr:from>
    <xdr:to>
      <xdr:col>13</xdr:col>
      <xdr:colOff>247651</xdr:colOff>
      <xdr:row>4</xdr:row>
      <xdr:rowOff>114300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7372351" y="657225"/>
          <a:ext cx="800100" cy="219075"/>
        </a:xfrm>
        <a:prstGeom prst="rect">
          <a:avLst/>
        </a:prstGeom>
        <a:solidFill>
          <a:srgbClr val="FFFF00"/>
        </a:solidFill>
        <a:ln w="381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Segoe UI" panose="020B0502040204020203" pitchFamily="34" charset="0"/>
              <a:cs typeface="Segoe UI" panose="020B0502040204020203" pitchFamily="34" charset="0"/>
            </a:rPr>
            <a:t>Staff Details</a:t>
          </a:r>
        </a:p>
      </xdr:txBody>
    </xdr:sp>
    <xdr:clientData/>
  </xdr:twoCellAnchor>
  <xdr:twoCellAnchor>
    <xdr:from>
      <xdr:col>3</xdr:col>
      <xdr:colOff>304801</xdr:colOff>
      <xdr:row>5</xdr:row>
      <xdr:rowOff>104774</xdr:rowOff>
    </xdr:from>
    <xdr:to>
      <xdr:col>4</xdr:col>
      <xdr:colOff>476251</xdr:colOff>
      <xdr:row>6</xdr:row>
      <xdr:rowOff>152399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2133601" y="1057274"/>
          <a:ext cx="781050" cy="238125"/>
        </a:xfrm>
        <a:prstGeom prst="rect">
          <a:avLst/>
        </a:prstGeom>
        <a:solidFill>
          <a:srgbClr val="FFFF00"/>
        </a:solidFill>
        <a:ln w="381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Segoe UI" panose="020B0502040204020203" pitchFamily="34" charset="0"/>
              <a:cs typeface="Segoe UI" panose="020B0502040204020203" pitchFamily="34" charset="0"/>
            </a:rPr>
            <a:t>Attendance</a:t>
          </a:r>
        </a:p>
        <a:p>
          <a:endParaRPr lang="en-US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15</xdr:col>
      <xdr:colOff>133350</xdr:colOff>
      <xdr:row>0</xdr:row>
      <xdr:rowOff>76201</xdr:rowOff>
    </xdr:from>
    <xdr:to>
      <xdr:col>29</xdr:col>
      <xdr:colOff>495300</xdr:colOff>
      <xdr:row>32</xdr:row>
      <xdr:rowOff>66675</xdr:rowOff>
    </xdr:to>
    <xdr:sp macro="" textlink="">
      <xdr:nvSpPr>
        <xdr:cNvPr id="9" name="Round Diagonal Corner 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9277350" y="76201"/>
          <a:ext cx="8896350" cy="6086474"/>
        </a:xfrm>
        <a:prstGeom prst="round2DiagRect">
          <a:avLst/>
        </a:prstGeom>
        <a:solidFill>
          <a:schemeClr val="accent1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352426</xdr:colOff>
      <xdr:row>5</xdr:row>
      <xdr:rowOff>114299</xdr:rowOff>
    </xdr:from>
    <xdr:to>
      <xdr:col>29</xdr:col>
      <xdr:colOff>295276</xdr:colOff>
      <xdr:row>7</xdr:row>
      <xdr:rowOff>19050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202026" y="1066799"/>
          <a:ext cx="1771650" cy="285751"/>
        </a:xfrm>
        <a:prstGeom prst="roundRect">
          <a:avLst>
            <a:gd name="adj" fmla="val 37879"/>
          </a:avLst>
        </a:prstGeom>
        <a:solidFill>
          <a:schemeClr val="accent5">
            <a:lumMod val="5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228600</xdr:colOff>
      <xdr:row>1</xdr:row>
      <xdr:rowOff>66677</xdr:rowOff>
    </xdr:from>
    <xdr:to>
      <xdr:col>49</xdr:col>
      <xdr:colOff>523875</xdr:colOff>
      <xdr:row>32</xdr:row>
      <xdr:rowOff>76200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21564600" y="257177"/>
          <a:ext cx="8829675" cy="5915023"/>
        </a:xfrm>
        <a:prstGeom prst="roundRect">
          <a:avLst>
            <a:gd name="adj" fmla="val 5275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314325</xdr:colOff>
      <xdr:row>1</xdr:row>
      <xdr:rowOff>152400</xdr:rowOff>
    </xdr:from>
    <xdr:to>
      <xdr:col>39</xdr:col>
      <xdr:colOff>561975</xdr:colOff>
      <xdr:row>15</xdr:row>
      <xdr:rowOff>95250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21650325" y="342900"/>
          <a:ext cx="2686050" cy="2609850"/>
        </a:xfrm>
        <a:prstGeom prst="roundRect">
          <a:avLst>
            <a:gd name="adj" fmla="val 8000"/>
          </a:avLst>
        </a:prstGeom>
        <a:solidFill>
          <a:srgbClr val="5B9BD5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323850</xdr:colOff>
      <xdr:row>16</xdr:row>
      <xdr:rowOff>180974</xdr:rowOff>
    </xdr:from>
    <xdr:to>
      <xdr:col>39</xdr:col>
      <xdr:colOff>561975</xdr:colOff>
      <xdr:row>31</xdr:row>
      <xdr:rowOff>171449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21659850" y="3228974"/>
          <a:ext cx="2676525" cy="2847975"/>
        </a:xfrm>
        <a:prstGeom prst="roundRect">
          <a:avLst>
            <a:gd name="adj" fmla="val 3505"/>
          </a:avLst>
        </a:prstGeom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47625</xdr:colOff>
      <xdr:row>1</xdr:row>
      <xdr:rowOff>114300</xdr:rowOff>
    </xdr:from>
    <xdr:to>
      <xdr:col>49</xdr:col>
      <xdr:colOff>390525</xdr:colOff>
      <xdr:row>4</xdr:row>
      <xdr:rowOff>142876</xdr:rowOff>
    </xdr:to>
    <xdr:sp macro="" textlink="">
      <xdr:nvSpPr>
        <xdr:cNvPr id="21" name="Rounded Rectangle 11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4431625" y="304800"/>
          <a:ext cx="5829300" cy="600076"/>
        </a:xfrm>
        <a:prstGeom prst="roundRect">
          <a:avLst>
            <a:gd name="adj" fmla="val 37322"/>
          </a:avLst>
        </a:prstGeom>
        <a:solidFill>
          <a:schemeClr val="accent1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47625</xdr:colOff>
      <xdr:row>4</xdr:row>
      <xdr:rowOff>171448</xdr:rowOff>
    </xdr:from>
    <xdr:to>
      <xdr:col>49</xdr:col>
      <xdr:colOff>409575</xdr:colOff>
      <xdr:row>32</xdr:row>
      <xdr:rowOff>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24431625" y="933448"/>
          <a:ext cx="5848350" cy="5162552"/>
        </a:xfrm>
        <a:prstGeom prst="roundRect">
          <a:avLst>
            <a:gd name="adj" fmla="val 5073"/>
          </a:avLst>
        </a:prstGeom>
        <a:solidFill>
          <a:srgbClr val="DEEBF7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361950</xdr:colOff>
      <xdr:row>15</xdr:row>
      <xdr:rowOff>133351</xdr:rowOff>
    </xdr:from>
    <xdr:to>
      <xdr:col>39</xdr:col>
      <xdr:colOff>552450</xdr:colOff>
      <xdr:row>17</xdr:row>
      <xdr:rowOff>66675</xdr:rowOff>
    </xdr:to>
    <xdr:sp macro="" textlink="">
      <xdr:nvSpPr>
        <xdr:cNvPr id="25" name="Rounded Rectangle 11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21697950" y="2990851"/>
          <a:ext cx="2628900" cy="314324"/>
        </a:xfrm>
        <a:prstGeom prst="roundRect">
          <a:avLst>
            <a:gd name="adj" fmla="val 22727"/>
          </a:avLst>
        </a:prstGeom>
        <a:solidFill>
          <a:schemeClr val="accent1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266700</xdr:colOff>
      <xdr:row>8</xdr:row>
      <xdr:rowOff>9525</xdr:rowOff>
    </xdr:from>
    <xdr:to>
      <xdr:col>29</xdr:col>
      <xdr:colOff>295275</xdr:colOff>
      <xdr:row>9</xdr:row>
      <xdr:rowOff>114301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6116300" y="1533525"/>
          <a:ext cx="1857375" cy="295276"/>
        </a:xfrm>
        <a:prstGeom prst="roundRect">
          <a:avLst>
            <a:gd name="adj" fmla="val 37879"/>
          </a:avLst>
        </a:prstGeom>
        <a:solidFill>
          <a:schemeClr val="accent5">
            <a:lumMod val="5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485775</xdr:colOff>
      <xdr:row>8</xdr:row>
      <xdr:rowOff>19050</xdr:rowOff>
    </xdr:from>
    <xdr:to>
      <xdr:col>25</xdr:col>
      <xdr:colOff>523874</xdr:colOff>
      <xdr:row>9</xdr:row>
      <xdr:rowOff>123826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3896975" y="1543050"/>
          <a:ext cx="1866899" cy="295276"/>
        </a:xfrm>
        <a:prstGeom prst="roundRect">
          <a:avLst>
            <a:gd name="adj" fmla="val 37879"/>
          </a:avLst>
        </a:prstGeom>
        <a:solidFill>
          <a:schemeClr val="accent5">
            <a:lumMod val="5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438150</xdr:colOff>
      <xdr:row>8</xdr:row>
      <xdr:rowOff>9525</xdr:rowOff>
    </xdr:from>
    <xdr:to>
      <xdr:col>22</xdr:col>
      <xdr:colOff>38099</xdr:colOff>
      <xdr:row>9</xdr:row>
      <xdr:rowOff>114301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1410950" y="1533525"/>
          <a:ext cx="2038349" cy="295276"/>
        </a:xfrm>
        <a:prstGeom prst="roundRect">
          <a:avLst>
            <a:gd name="adj" fmla="val 37879"/>
          </a:avLst>
        </a:prstGeom>
        <a:solidFill>
          <a:schemeClr val="accent5">
            <a:lumMod val="5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266699</xdr:colOff>
      <xdr:row>8</xdr:row>
      <xdr:rowOff>0</xdr:rowOff>
    </xdr:from>
    <xdr:to>
      <xdr:col>18</xdr:col>
      <xdr:colOff>180974</xdr:colOff>
      <xdr:row>9</xdr:row>
      <xdr:rowOff>104776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9410699" y="1524000"/>
          <a:ext cx="1743075" cy="295276"/>
        </a:xfrm>
        <a:prstGeom prst="roundRect">
          <a:avLst>
            <a:gd name="adj" fmla="val 37879"/>
          </a:avLst>
        </a:prstGeom>
        <a:solidFill>
          <a:schemeClr val="accent5">
            <a:lumMod val="5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219074</xdr:colOff>
      <xdr:row>12</xdr:row>
      <xdr:rowOff>123825</xdr:rowOff>
    </xdr:from>
    <xdr:to>
      <xdr:col>29</xdr:col>
      <xdr:colOff>323849</xdr:colOff>
      <xdr:row>31</xdr:row>
      <xdr:rowOff>142875</xdr:rowOff>
    </xdr:to>
    <xdr:sp macro="" textlink="">
      <xdr:nvSpPr>
        <xdr:cNvPr id="19" name="Round Same Side Corner Rectangl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 rot="10800000">
          <a:off x="9363074" y="2409825"/>
          <a:ext cx="8639175" cy="3638550"/>
        </a:xfrm>
        <a:prstGeom prst="round2SameRect">
          <a:avLst>
            <a:gd name="adj1" fmla="val 19349"/>
            <a:gd name="adj2" fmla="val 0"/>
          </a:avLst>
        </a:prstGeom>
        <a:solidFill>
          <a:srgbClr val="DEEBF7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419100</xdr:colOff>
      <xdr:row>1</xdr:row>
      <xdr:rowOff>104776</xdr:rowOff>
    </xdr:from>
    <xdr:to>
      <xdr:col>39</xdr:col>
      <xdr:colOff>514350</xdr:colOff>
      <xdr:row>3</xdr:row>
      <xdr:rowOff>38100</xdr:rowOff>
    </xdr:to>
    <xdr:sp macro="" textlink="">
      <xdr:nvSpPr>
        <xdr:cNvPr id="32" name="Rounded Rectangle 1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21755100" y="295276"/>
          <a:ext cx="2533650" cy="314324"/>
        </a:xfrm>
        <a:prstGeom prst="roundRect">
          <a:avLst>
            <a:gd name="adj" fmla="val 22727"/>
          </a:avLst>
        </a:prstGeom>
        <a:solidFill>
          <a:schemeClr val="accent1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157"/>
  <sheetViews>
    <sheetView showGridLines="0" zoomScaleNormal="100" workbookViewId="0">
      <pane ySplit="1" topLeftCell="A2" activePane="bottomLeft" state="frozen"/>
      <selection pane="bottomLeft" activeCell="K67" sqref="K67"/>
    </sheetView>
  </sheetViews>
  <sheetFormatPr defaultRowHeight="15" x14ac:dyDescent="0.25"/>
  <cols>
    <col min="2" max="2" width="12" customWidth="1"/>
    <col min="3" max="3" width="21.140625" customWidth="1"/>
    <col min="4" max="4" width="12.5703125" customWidth="1"/>
    <col min="7" max="7" width="9.140625" style="5"/>
    <col min="11" max="11" width="18" customWidth="1"/>
  </cols>
  <sheetData>
    <row r="1" spans="1:8" x14ac:dyDescent="0.25">
      <c r="A1" s="2" t="s">
        <v>13</v>
      </c>
      <c r="B1" s="2" t="s">
        <v>7</v>
      </c>
      <c r="C1" s="2" t="s">
        <v>2</v>
      </c>
      <c r="D1" s="2" t="s">
        <v>14</v>
      </c>
      <c r="E1" s="2" t="s">
        <v>3</v>
      </c>
      <c r="F1" s="2" t="s">
        <v>4</v>
      </c>
      <c r="G1" s="4" t="s">
        <v>5</v>
      </c>
      <c r="H1" s="2" t="s">
        <v>6</v>
      </c>
    </row>
    <row r="2" spans="1:8" x14ac:dyDescent="0.25">
      <c r="A2">
        <v>9</v>
      </c>
      <c r="B2" s="6">
        <v>44980</v>
      </c>
      <c r="C2" t="s">
        <v>23</v>
      </c>
      <c r="D2" t="s">
        <v>28</v>
      </c>
      <c r="E2">
        <v>23</v>
      </c>
      <c r="F2">
        <v>0</v>
      </c>
      <c r="G2" s="5">
        <v>143</v>
      </c>
      <c r="H2">
        <v>166</v>
      </c>
    </row>
    <row r="3" spans="1:8" x14ac:dyDescent="0.25">
      <c r="A3">
        <v>8</v>
      </c>
      <c r="B3" s="6">
        <v>44980</v>
      </c>
      <c r="C3" t="s">
        <v>26</v>
      </c>
      <c r="D3" t="s">
        <v>0</v>
      </c>
      <c r="E3">
        <v>22</v>
      </c>
      <c r="F3">
        <v>500</v>
      </c>
      <c r="G3" s="5">
        <v>202</v>
      </c>
      <c r="H3">
        <v>724</v>
      </c>
    </row>
    <row r="4" spans="1:8" x14ac:dyDescent="0.25">
      <c r="A4">
        <v>7</v>
      </c>
      <c r="B4" s="6">
        <v>44966</v>
      </c>
      <c r="C4" t="s">
        <v>23</v>
      </c>
      <c r="D4" t="s">
        <v>1</v>
      </c>
      <c r="E4">
        <v>2</v>
      </c>
      <c r="F4">
        <v>22</v>
      </c>
      <c r="G4" s="5">
        <v>99</v>
      </c>
      <c r="H4">
        <v>123</v>
      </c>
    </row>
    <row r="5" spans="1:8" x14ac:dyDescent="0.25">
      <c r="A5">
        <v>6</v>
      </c>
      <c r="B5" s="6">
        <v>44966</v>
      </c>
      <c r="C5" t="s">
        <v>25</v>
      </c>
      <c r="D5" t="s">
        <v>1</v>
      </c>
      <c r="E5">
        <v>0</v>
      </c>
      <c r="F5">
        <v>0</v>
      </c>
      <c r="G5" s="5">
        <v>231</v>
      </c>
      <c r="H5">
        <v>231</v>
      </c>
    </row>
    <row r="6" spans="1:8" x14ac:dyDescent="0.25">
      <c r="A6">
        <v>5</v>
      </c>
      <c r="B6" s="6">
        <v>44966</v>
      </c>
      <c r="C6" t="s">
        <v>23</v>
      </c>
      <c r="D6" t="s">
        <v>0</v>
      </c>
      <c r="E6">
        <v>2</v>
      </c>
      <c r="F6">
        <v>22</v>
      </c>
      <c r="G6" s="5">
        <v>100</v>
      </c>
      <c r="H6">
        <v>124</v>
      </c>
    </row>
    <row r="7" spans="1:8" x14ac:dyDescent="0.25">
      <c r="A7">
        <v>4</v>
      </c>
      <c r="B7" s="6">
        <v>44966</v>
      </c>
      <c r="C7" t="s">
        <v>25</v>
      </c>
      <c r="D7" t="s">
        <v>0</v>
      </c>
      <c r="E7">
        <v>22</v>
      </c>
      <c r="F7">
        <v>32</v>
      </c>
      <c r="G7" s="5">
        <v>69</v>
      </c>
      <c r="H7">
        <v>123</v>
      </c>
    </row>
    <row r="8" spans="1:8" x14ac:dyDescent="0.25">
      <c r="A8">
        <v>3</v>
      </c>
      <c r="B8" s="6">
        <v>44931</v>
      </c>
      <c r="C8" t="s">
        <v>25</v>
      </c>
      <c r="D8" t="s">
        <v>1</v>
      </c>
      <c r="E8">
        <v>0</v>
      </c>
      <c r="F8">
        <v>230</v>
      </c>
      <c r="G8" s="5">
        <v>2081</v>
      </c>
      <c r="H8">
        <v>2311</v>
      </c>
    </row>
    <row r="9" spans="1:8" x14ac:dyDescent="0.25">
      <c r="A9">
        <v>2</v>
      </c>
      <c r="B9" s="6">
        <v>44931</v>
      </c>
      <c r="C9" t="s">
        <v>25</v>
      </c>
      <c r="D9" t="s">
        <v>0</v>
      </c>
      <c r="E9">
        <v>20</v>
      </c>
      <c r="F9">
        <v>0</v>
      </c>
      <c r="G9" s="5">
        <v>202</v>
      </c>
      <c r="H9">
        <v>222</v>
      </c>
    </row>
    <row r="10" spans="1:8" x14ac:dyDescent="0.25">
      <c r="A10">
        <v>1</v>
      </c>
      <c r="B10" s="6">
        <v>44929</v>
      </c>
      <c r="C10" t="s">
        <v>23</v>
      </c>
      <c r="D10" t="s">
        <v>0</v>
      </c>
      <c r="E10">
        <v>20</v>
      </c>
      <c r="F10">
        <v>0</v>
      </c>
      <c r="G10" s="5">
        <v>324</v>
      </c>
      <c r="H10">
        <v>344</v>
      </c>
    </row>
    <row r="11" spans="1:8" x14ac:dyDescent="0.25">
      <c r="B11" s="6"/>
    </row>
    <row r="12" spans="1:8" x14ac:dyDescent="0.25">
      <c r="B12" s="6"/>
    </row>
    <row r="13" spans="1:8" x14ac:dyDescent="0.25">
      <c r="B13" s="6"/>
    </row>
    <row r="14" spans="1:8" x14ac:dyDescent="0.25">
      <c r="B14" s="6"/>
    </row>
    <row r="15" spans="1:8" x14ac:dyDescent="0.25">
      <c r="B15" s="6"/>
    </row>
    <row r="16" spans="1:8" x14ac:dyDescent="0.25">
      <c r="B16" s="6"/>
    </row>
    <row r="17" spans="2:2" x14ac:dyDescent="0.25">
      <c r="B17" s="6"/>
    </row>
    <row r="18" spans="2:2" x14ac:dyDescent="0.25">
      <c r="B18" s="6"/>
    </row>
    <row r="19" spans="2:2" x14ac:dyDescent="0.25">
      <c r="B19" s="6"/>
    </row>
    <row r="20" spans="2:2" x14ac:dyDescent="0.25">
      <c r="B20" s="6"/>
    </row>
    <row r="21" spans="2:2" x14ac:dyDescent="0.25">
      <c r="B21" s="6"/>
    </row>
    <row r="22" spans="2:2" x14ac:dyDescent="0.25">
      <c r="B22" s="6"/>
    </row>
    <row r="23" spans="2:2" x14ac:dyDescent="0.25">
      <c r="B23" s="6"/>
    </row>
    <row r="24" spans="2:2" x14ac:dyDescent="0.25">
      <c r="B24" s="6"/>
    </row>
    <row r="25" spans="2:2" x14ac:dyDescent="0.25">
      <c r="B25" s="6"/>
    </row>
    <row r="26" spans="2:2" x14ac:dyDescent="0.25">
      <c r="B26" s="6"/>
    </row>
    <row r="27" spans="2:2" x14ac:dyDescent="0.25">
      <c r="B27" s="6"/>
    </row>
    <row r="28" spans="2:2" x14ac:dyDescent="0.25">
      <c r="B28" s="6"/>
    </row>
    <row r="29" spans="2:2" x14ac:dyDescent="0.25">
      <c r="B29" s="6"/>
    </row>
    <row r="30" spans="2:2" x14ac:dyDescent="0.25">
      <c r="B30" s="6"/>
    </row>
    <row r="31" spans="2:2" x14ac:dyDescent="0.25">
      <c r="B31" s="6"/>
    </row>
    <row r="32" spans="2:2" x14ac:dyDescent="0.25">
      <c r="B32" s="6"/>
    </row>
    <row r="33" spans="2:2" x14ac:dyDescent="0.25">
      <c r="B33" s="6"/>
    </row>
    <row r="34" spans="2:2" x14ac:dyDescent="0.25">
      <c r="B34" s="6"/>
    </row>
    <row r="35" spans="2:2" x14ac:dyDescent="0.25">
      <c r="B35" s="6"/>
    </row>
    <row r="36" spans="2:2" x14ac:dyDescent="0.25">
      <c r="B36" s="6"/>
    </row>
    <row r="37" spans="2:2" x14ac:dyDescent="0.25">
      <c r="B37" s="6"/>
    </row>
    <row r="38" spans="2:2" x14ac:dyDescent="0.25">
      <c r="B38" s="6"/>
    </row>
    <row r="39" spans="2:2" x14ac:dyDescent="0.25">
      <c r="B39" s="6"/>
    </row>
    <row r="40" spans="2:2" x14ac:dyDescent="0.25">
      <c r="B40" s="6"/>
    </row>
    <row r="41" spans="2:2" x14ac:dyDescent="0.25">
      <c r="B41" s="6"/>
    </row>
    <row r="42" spans="2:2" x14ac:dyDescent="0.25">
      <c r="B42" s="6"/>
    </row>
    <row r="43" spans="2:2" x14ac:dyDescent="0.25">
      <c r="B43" s="6"/>
    </row>
    <row r="44" spans="2:2" x14ac:dyDescent="0.25">
      <c r="B44" s="6"/>
    </row>
    <row r="45" spans="2:2" x14ac:dyDescent="0.25">
      <c r="B45" s="6"/>
    </row>
    <row r="46" spans="2:2" x14ac:dyDescent="0.25">
      <c r="B46" s="6"/>
    </row>
    <row r="47" spans="2:2" x14ac:dyDescent="0.25">
      <c r="B47" s="6"/>
    </row>
    <row r="48" spans="2:2" x14ac:dyDescent="0.25">
      <c r="B48" s="6"/>
    </row>
    <row r="49" spans="2:2" x14ac:dyDescent="0.25">
      <c r="B49" s="6"/>
    </row>
    <row r="50" spans="2:2" x14ac:dyDescent="0.25">
      <c r="B50" s="6"/>
    </row>
    <row r="51" spans="2:2" x14ac:dyDescent="0.25">
      <c r="B51" s="6"/>
    </row>
    <row r="52" spans="2:2" x14ac:dyDescent="0.25">
      <c r="B52" s="6"/>
    </row>
    <row r="53" spans="2:2" x14ac:dyDescent="0.25">
      <c r="B53" s="6"/>
    </row>
    <row r="54" spans="2:2" x14ac:dyDescent="0.25">
      <c r="B54" s="6"/>
    </row>
    <row r="55" spans="2:2" x14ac:dyDescent="0.25">
      <c r="B55" s="6"/>
    </row>
    <row r="56" spans="2:2" x14ac:dyDescent="0.25">
      <c r="B56" s="6"/>
    </row>
    <row r="57" spans="2:2" x14ac:dyDescent="0.25">
      <c r="B57" s="6"/>
    </row>
    <row r="58" spans="2:2" x14ac:dyDescent="0.25">
      <c r="B58" s="6"/>
    </row>
    <row r="59" spans="2:2" x14ac:dyDescent="0.25">
      <c r="B59" s="6"/>
    </row>
    <row r="60" spans="2:2" x14ac:dyDescent="0.25">
      <c r="B60" s="6"/>
    </row>
    <row r="61" spans="2:2" x14ac:dyDescent="0.25">
      <c r="B61" s="6"/>
    </row>
    <row r="62" spans="2:2" x14ac:dyDescent="0.25">
      <c r="B62" s="6"/>
    </row>
    <row r="63" spans="2:2" x14ac:dyDescent="0.25">
      <c r="B63" s="6"/>
    </row>
    <row r="64" spans="2:2" x14ac:dyDescent="0.25">
      <c r="B64" s="6"/>
    </row>
    <row r="65" spans="2:2" x14ac:dyDescent="0.25">
      <c r="B65" s="6"/>
    </row>
    <row r="66" spans="2:2" x14ac:dyDescent="0.25">
      <c r="B66" s="6"/>
    </row>
    <row r="67" spans="2:2" x14ac:dyDescent="0.25">
      <c r="B67" s="6"/>
    </row>
    <row r="68" spans="2:2" x14ac:dyDescent="0.25">
      <c r="B68" s="6"/>
    </row>
    <row r="69" spans="2:2" x14ac:dyDescent="0.25">
      <c r="B69" s="6"/>
    </row>
    <row r="70" spans="2:2" x14ac:dyDescent="0.25">
      <c r="B70" s="6"/>
    </row>
    <row r="71" spans="2:2" x14ac:dyDescent="0.25">
      <c r="B71" s="6"/>
    </row>
    <row r="72" spans="2:2" x14ac:dyDescent="0.25">
      <c r="B72" s="6"/>
    </row>
    <row r="73" spans="2:2" x14ac:dyDescent="0.25">
      <c r="B73" s="6"/>
    </row>
    <row r="74" spans="2:2" x14ac:dyDescent="0.25">
      <c r="B74" s="6"/>
    </row>
    <row r="75" spans="2:2" x14ac:dyDescent="0.25">
      <c r="B75" s="6"/>
    </row>
    <row r="76" spans="2:2" x14ac:dyDescent="0.25">
      <c r="B76" s="6"/>
    </row>
    <row r="77" spans="2:2" x14ac:dyDescent="0.25">
      <c r="B77" s="6"/>
    </row>
    <row r="78" spans="2:2" x14ac:dyDescent="0.25">
      <c r="B78" s="6"/>
    </row>
    <row r="79" spans="2:2" x14ac:dyDescent="0.25">
      <c r="B79" s="6"/>
    </row>
    <row r="80" spans="2:2" x14ac:dyDescent="0.25">
      <c r="B80" s="6"/>
    </row>
    <row r="81" spans="2:2" x14ac:dyDescent="0.25">
      <c r="B81" s="6"/>
    </row>
    <row r="82" spans="2:2" x14ac:dyDescent="0.25">
      <c r="B82" s="6"/>
    </row>
    <row r="83" spans="2:2" x14ac:dyDescent="0.25">
      <c r="B83" s="6"/>
    </row>
    <row r="84" spans="2:2" x14ac:dyDescent="0.25">
      <c r="B84" s="6"/>
    </row>
    <row r="85" spans="2:2" x14ac:dyDescent="0.25">
      <c r="B85" s="6"/>
    </row>
    <row r="86" spans="2:2" x14ac:dyDescent="0.25">
      <c r="B86" s="6"/>
    </row>
    <row r="87" spans="2:2" x14ac:dyDescent="0.25">
      <c r="B87" s="6"/>
    </row>
    <row r="88" spans="2:2" x14ac:dyDescent="0.25">
      <c r="B88" s="6"/>
    </row>
    <row r="89" spans="2:2" x14ac:dyDescent="0.25">
      <c r="B89" s="6"/>
    </row>
    <row r="90" spans="2:2" x14ac:dyDescent="0.25">
      <c r="B90" s="6"/>
    </row>
    <row r="91" spans="2:2" x14ac:dyDescent="0.25">
      <c r="B91" s="6"/>
    </row>
    <row r="92" spans="2:2" x14ac:dyDescent="0.25">
      <c r="B92" s="6"/>
    </row>
    <row r="93" spans="2:2" x14ac:dyDescent="0.25">
      <c r="B93" s="6"/>
    </row>
    <row r="94" spans="2:2" x14ac:dyDescent="0.25">
      <c r="B94" s="6"/>
    </row>
    <row r="95" spans="2:2" x14ac:dyDescent="0.25">
      <c r="B95" s="6"/>
    </row>
    <row r="96" spans="2:2" x14ac:dyDescent="0.25">
      <c r="B96" s="6"/>
    </row>
    <row r="97" spans="2:2" x14ac:dyDescent="0.25">
      <c r="B97" s="6"/>
    </row>
    <row r="98" spans="2:2" x14ac:dyDescent="0.25">
      <c r="B98" s="6"/>
    </row>
    <row r="99" spans="2:2" x14ac:dyDescent="0.25">
      <c r="B99" s="6"/>
    </row>
    <row r="100" spans="2:2" x14ac:dyDescent="0.25">
      <c r="B100" s="6"/>
    </row>
    <row r="101" spans="2:2" x14ac:dyDescent="0.25">
      <c r="B101" s="6"/>
    </row>
    <row r="102" spans="2:2" x14ac:dyDescent="0.25">
      <c r="B102" s="6"/>
    </row>
    <row r="103" spans="2:2" x14ac:dyDescent="0.25">
      <c r="B103" s="6"/>
    </row>
    <row r="104" spans="2:2" x14ac:dyDescent="0.25">
      <c r="B104" s="6"/>
    </row>
    <row r="105" spans="2:2" x14ac:dyDescent="0.25">
      <c r="B105" s="6"/>
    </row>
    <row r="106" spans="2:2" x14ac:dyDescent="0.25">
      <c r="B106" s="6"/>
    </row>
    <row r="107" spans="2:2" x14ac:dyDescent="0.25">
      <c r="B107" s="6"/>
    </row>
    <row r="108" spans="2:2" x14ac:dyDescent="0.25">
      <c r="B108" s="6"/>
    </row>
    <row r="109" spans="2:2" x14ac:dyDescent="0.25">
      <c r="B109" s="6"/>
    </row>
    <row r="110" spans="2:2" x14ac:dyDescent="0.25">
      <c r="B110" s="6"/>
    </row>
    <row r="111" spans="2:2" x14ac:dyDescent="0.25">
      <c r="B111" s="6"/>
    </row>
    <row r="112" spans="2:2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10" x14ac:dyDescent="0.25">
      <c r="B145" s="6"/>
    </row>
    <row r="146" spans="2:10" x14ac:dyDescent="0.25">
      <c r="B146" s="6"/>
    </row>
    <row r="147" spans="2:10" x14ac:dyDescent="0.25">
      <c r="B147" s="6"/>
    </row>
    <row r="148" spans="2:10" x14ac:dyDescent="0.25">
      <c r="B148" s="6"/>
    </row>
    <row r="149" spans="2:10" x14ac:dyDescent="0.25">
      <c r="B149" s="6"/>
    </row>
    <row r="150" spans="2:10" x14ac:dyDescent="0.25">
      <c r="B150" s="6"/>
      <c r="J150" s="5"/>
    </row>
    <row r="151" spans="2:10" x14ac:dyDescent="0.25">
      <c r="B151" s="6"/>
    </row>
    <row r="152" spans="2:10" x14ac:dyDescent="0.25">
      <c r="B152" s="6"/>
    </row>
    <row r="153" spans="2:10" x14ac:dyDescent="0.25">
      <c r="B153" s="6"/>
    </row>
    <row r="154" spans="2:10" x14ac:dyDescent="0.25">
      <c r="B154" s="6"/>
    </row>
    <row r="155" spans="2:10" x14ac:dyDescent="0.25">
      <c r="B155" s="6"/>
    </row>
    <row r="156" spans="2:10" x14ac:dyDescent="0.25">
      <c r="B156" s="6"/>
    </row>
    <row r="157" spans="2:10" x14ac:dyDescent="0.25">
      <c r="B157" s="6"/>
    </row>
  </sheetData>
  <sortState xmlns:xlrd2="http://schemas.microsoft.com/office/spreadsheetml/2017/richdata2" ref="A2:J157">
    <sortCondition descending="1" ref="B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ow_form">
                <anchor moveWithCells="1" sizeWithCells="1">
                  <from>
                    <xdr:col>8</xdr:col>
                    <xdr:colOff>104775</xdr:colOff>
                    <xdr:row>0</xdr:row>
                    <xdr:rowOff>19050</xdr:rowOff>
                  </from>
                  <to>
                    <xdr:col>9</xdr:col>
                    <xdr:colOff>419100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"/>
  <sheetViews>
    <sheetView showGridLines="0" workbookViewId="0">
      <selection sqref="A1:C4"/>
    </sheetView>
  </sheetViews>
  <sheetFormatPr defaultRowHeight="15" x14ac:dyDescent="0.25"/>
  <cols>
    <col min="1" max="1" width="19.28515625" style="17" customWidth="1"/>
    <col min="2" max="2" width="14.28515625" style="40" customWidth="1"/>
    <col min="3" max="3" width="14.28515625" style="20" customWidth="1"/>
  </cols>
  <sheetData>
    <row r="1" spans="1:3" x14ac:dyDescent="0.25">
      <c r="A1" s="16" t="s">
        <v>2</v>
      </c>
      <c r="B1" s="40" t="s">
        <v>18</v>
      </c>
      <c r="C1" s="20" t="s">
        <v>22</v>
      </c>
    </row>
    <row r="2" spans="1:3" x14ac:dyDescent="0.25">
      <c r="A2" s="17" t="s">
        <v>23</v>
      </c>
      <c r="B2" s="40">
        <v>757</v>
      </c>
      <c r="C2" s="20">
        <v>0.1733058608058608</v>
      </c>
    </row>
    <row r="3" spans="1:3" x14ac:dyDescent="0.25">
      <c r="A3" s="17" t="s">
        <v>25</v>
      </c>
      <c r="B3" s="40">
        <v>2887</v>
      </c>
      <c r="C3" s="20">
        <v>0.66094322344322343</v>
      </c>
    </row>
    <row r="4" spans="1:3" x14ac:dyDescent="0.25">
      <c r="A4" s="17" t="s">
        <v>26</v>
      </c>
      <c r="B4" s="40">
        <v>724</v>
      </c>
      <c r="C4" s="20">
        <v>0.16575091575091574</v>
      </c>
    </row>
  </sheetData>
  <sortState xmlns:xlrd2="http://schemas.microsoft.com/office/spreadsheetml/2017/richdata2" ref="A2:C6">
    <sortCondition descending="1"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40"/>
  <sheetViews>
    <sheetView showGridLines="0" topLeftCell="A10" workbookViewId="0">
      <selection activeCell="D31" sqref="D31"/>
    </sheetView>
  </sheetViews>
  <sheetFormatPr defaultRowHeight="15" x14ac:dyDescent="0.25"/>
  <cols>
    <col min="1" max="1" width="8.140625" style="11" customWidth="1"/>
    <col min="2" max="2" width="11.5703125" style="11" customWidth="1"/>
    <col min="3" max="3" width="22.140625" style="11" customWidth="1"/>
    <col min="4" max="4" width="10" style="11" customWidth="1"/>
    <col min="5" max="5" width="9.28515625" style="11" customWidth="1"/>
    <col min="6" max="6" width="10.7109375" style="11" customWidth="1"/>
    <col min="7" max="7" width="9.85546875" style="11" customWidth="1"/>
    <col min="8" max="8" width="14.7109375" style="11" customWidth="1"/>
  </cols>
  <sheetData>
    <row r="1" spans="1:8" x14ac:dyDescent="0.25">
      <c r="A1" s="9" t="s">
        <v>13</v>
      </c>
      <c r="B1" s="9" t="s">
        <v>7</v>
      </c>
      <c r="C1" s="9" t="s">
        <v>2</v>
      </c>
      <c r="D1" s="9" t="s">
        <v>14</v>
      </c>
      <c r="E1" s="9" t="s">
        <v>3</v>
      </c>
      <c r="F1" s="9" t="s">
        <v>4</v>
      </c>
      <c r="G1" s="10" t="s">
        <v>5</v>
      </c>
      <c r="H1" s="9" t="s">
        <v>6</v>
      </c>
    </row>
    <row r="2" spans="1:8" x14ac:dyDescent="0.25">
      <c r="A2">
        <v>42</v>
      </c>
      <c r="B2" s="6">
        <v>44963</v>
      </c>
      <c r="C2" t="s">
        <v>10</v>
      </c>
      <c r="D2" t="s">
        <v>1</v>
      </c>
      <c r="E2">
        <v>250</v>
      </c>
      <c r="F2">
        <v>0</v>
      </c>
      <c r="G2" s="5">
        <v>252.05</v>
      </c>
      <c r="H2">
        <v>502.05</v>
      </c>
    </row>
    <row r="3" spans="1:8" x14ac:dyDescent="0.25">
      <c r="A3">
        <v>41</v>
      </c>
      <c r="B3" s="6">
        <v>44963</v>
      </c>
      <c r="C3" t="s">
        <v>11</v>
      </c>
      <c r="D3" t="s">
        <v>0</v>
      </c>
      <c r="E3">
        <v>100</v>
      </c>
      <c r="F3">
        <v>0</v>
      </c>
      <c r="G3" s="5">
        <v>230.36</v>
      </c>
      <c r="H3">
        <v>330.36</v>
      </c>
    </row>
    <row r="4" spans="1:8" x14ac:dyDescent="0.25">
      <c r="A4">
        <v>40</v>
      </c>
      <c r="B4" s="6">
        <v>44962</v>
      </c>
      <c r="C4" t="s">
        <v>11</v>
      </c>
      <c r="D4" t="s">
        <v>1</v>
      </c>
      <c r="E4">
        <v>200</v>
      </c>
      <c r="F4">
        <v>0</v>
      </c>
      <c r="G4" s="5">
        <v>186.41</v>
      </c>
      <c r="H4">
        <v>386.41</v>
      </c>
    </row>
    <row r="5" spans="1:8" x14ac:dyDescent="0.25">
      <c r="A5">
        <v>39</v>
      </c>
      <c r="B5" s="6">
        <v>44962</v>
      </c>
      <c r="C5" t="s">
        <v>11</v>
      </c>
      <c r="D5" t="s">
        <v>0</v>
      </c>
      <c r="E5">
        <v>120</v>
      </c>
      <c r="F5">
        <v>0</v>
      </c>
      <c r="G5" s="5">
        <v>161.15</v>
      </c>
      <c r="H5">
        <v>281.14999999999998</v>
      </c>
    </row>
    <row r="6" spans="1:8" x14ac:dyDescent="0.25">
      <c r="A6">
        <v>38</v>
      </c>
      <c r="B6" s="6">
        <v>44962</v>
      </c>
      <c r="C6" t="s">
        <v>10</v>
      </c>
      <c r="D6" t="s">
        <v>1</v>
      </c>
      <c r="E6">
        <v>0</v>
      </c>
      <c r="F6">
        <v>0</v>
      </c>
      <c r="G6" s="5">
        <v>49.484999999999999</v>
      </c>
      <c r="H6">
        <v>49.484999999999999</v>
      </c>
    </row>
    <row r="7" spans="1:8" x14ac:dyDescent="0.25">
      <c r="A7">
        <v>37</v>
      </c>
      <c r="B7" s="6">
        <v>44962</v>
      </c>
      <c r="C7" t="s">
        <v>10</v>
      </c>
      <c r="D7" t="s">
        <v>0</v>
      </c>
      <c r="E7">
        <v>0</v>
      </c>
      <c r="F7">
        <v>0</v>
      </c>
      <c r="G7" s="5">
        <v>24.483000000000001</v>
      </c>
      <c r="H7">
        <v>24.483000000000001</v>
      </c>
    </row>
    <row r="8" spans="1:8" x14ac:dyDescent="0.25">
      <c r="A8">
        <v>36</v>
      </c>
      <c r="B8" s="6">
        <v>44962</v>
      </c>
      <c r="C8" t="s">
        <v>8</v>
      </c>
      <c r="D8" t="s">
        <v>1</v>
      </c>
      <c r="E8">
        <v>0</v>
      </c>
      <c r="F8">
        <v>0</v>
      </c>
      <c r="G8" s="5">
        <v>133.815</v>
      </c>
      <c r="H8">
        <v>133.815</v>
      </c>
    </row>
    <row r="9" spans="1:8" x14ac:dyDescent="0.25">
      <c r="A9">
        <v>35</v>
      </c>
      <c r="B9" s="6">
        <v>44962</v>
      </c>
      <c r="C9" t="s">
        <v>8</v>
      </c>
      <c r="D9" t="s">
        <v>0</v>
      </c>
      <c r="E9">
        <v>350</v>
      </c>
      <c r="F9">
        <v>0</v>
      </c>
      <c r="G9" s="5">
        <v>67.316999999999993</v>
      </c>
      <c r="H9">
        <v>417.31700000000001</v>
      </c>
    </row>
    <row r="10" spans="1:8" x14ac:dyDescent="0.25">
      <c r="A10">
        <v>34</v>
      </c>
      <c r="B10" s="6">
        <v>44962</v>
      </c>
      <c r="C10" t="s">
        <v>9</v>
      </c>
      <c r="D10" t="s">
        <v>1</v>
      </c>
      <c r="E10">
        <v>0</v>
      </c>
      <c r="F10">
        <v>0</v>
      </c>
      <c r="G10" s="5">
        <v>192.02</v>
      </c>
      <c r="H10">
        <v>192.02</v>
      </c>
    </row>
    <row r="11" spans="1:8" x14ac:dyDescent="0.25">
      <c r="A11">
        <v>33</v>
      </c>
      <c r="B11" s="6">
        <v>44962</v>
      </c>
      <c r="C11" t="s">
        <v>9</v>
      </c>
      <c r="D11" t="s">
        <v>0</v>
      </c>
      <c r="E11">
        <v>0</v>
      </c>
      <c r="F11">
        <v>0</v>
      </c>
      <c r="G11" s="5">
        <v>198.14</v>
      </c>
      <c r="H11">
        <v>198.14</v>
      </c>
    </row>
    <row r="12" spans="1:8" x14ac:dyDescent="0.25">
      <c r="A12">
        <v>32</v>
      </c>
      <c r="B12" s="6">
        <v>44961</v>
      </c>
      <c r="C12" t="s">
        <v>10</v>
      </c>
      <c r="D12" t="s">
        <v>1</v>
      </c>
      <c r="E12">
        <v>0</v>
      </c>
      <c r="F12">
        <v>100</v>
      </c>
      <c r="G12" s="5">
        <v>46.99</v>
      </c>
      <c r="H12">
        <v>146.99</v>
      </c>
    </row>
    <row r="13" spans="1:8" x14ac:dyDescent="0.25">
      <c r="A13">
        <v>31</v>
      </c>
      <c r="B13" s="6">
        <v>44961</v>
      </c>
      <c r="C13" t="s">
        <v>10</v>
      </c>
      <c r="D13" t="s">
        <v>0</v>
      </c>
      <c r="E13">
        <v>0</v>
      </c>
      <c r="F13">
        <v>0</v>
      </c>
      <c r="G13" s="5">
        <v>164.11</v>
      </c>
      <c r="H13">
        <v>164.11</v>
      </c>
    </row>
    <row r="14" spans="1:8" x14ac:dyDescent="0.25">
      <c r="A14">
        <v>30</v>
      </c>
      <c r="B14" s="6">
        <v>44961</v>
      </c>
      <c r="C14" t="s">
        <v>11</v>
      </c>
      <c r="D14" t="s">
        <v>1</v>
      </c>
      <c r="E14">
        <v>0</v>
      </c>
      <c r="F14">
        <v>0</v>
      </c>
      <c r="G14" s="5">
        <v>87.284999999999997</v>
      </c>
      <c r="H14">
        <v>87.284999999999997</v>
      </c>
    </row>
    <row r="15" spans="1:8" x14ac:dyDescent="0.25">
      <c r="A15">
        <v>29</v>
      </c>
      <c r="B15" s="6">
        <v>44961</v>
      </c>
      <c r="C15" t="s">
        <v>11</v>
      </c>
      <c r="D15" t="s">
        <v>0</v>
      </c>
      <c r="E15">
        <v>0</v>
      </c>
      <c r="F15">
        <v>0</v>
      </c>
      <c r="G15" s="5">
        <v>94.468000000000004</v>
      </c>
      <c r="H15">
        <v>94.468000000000004</v>
      </c>
    </row>
    <row r="16" spans="1:8" x14ac:dyDescent="0.25">
      <c r="A16">
        <v>28</v>
      </c>
      <c r="B16" s="6">
        <v>44961</v>
      </c>
      <c r="C16" t="s">
        <v>8</v>
      </c>
      <c r="D16" t="s">
        <v>1</v>
      </c>
      <c r="E16">
        <v>0</v>
      </c>
      <c r="F16">
        <v>0</v>
      </c>
      <c r="G16" s="5">
        <v>147.99</v>
      </c>
      <c r="H16">
        <v>147.99</v>
      </c>
    </row>
    <row r="17" spans="1:8" x14ac:dyDescent="0.25">
      <c r="A17">
        <v>27</v>
      </c>
      <c r="B17" s="6">
        <v>44961</v>
      </c>
      <c r="C17" t="s">
        <v>8</v>
      </c>
      <c r="D17" t="s">
        <v>0</v>
      </c>
      <c r="E17">
        <v>0</v>
      </c>
      <c r="F17">
        <v>0</v>
      </c>
      <c r="G17" s="5">
        <v>175.15</v>
      </c>
      <c r="H17">
        <v>175.15</v>
      </c>
    </row>
    <row r="18" spans="1:8" x14ac:dyDescent="0.25">
      <c r="A18">
        <v>26</v>
      </c>
      <c r="B18" s="6">
        <v>44961</v>
      </c>
      <c r="C18" t="s">
        <v>9</v>
      </c>
      <c r="D18" t="s">
        <v>1</v>
      </c>
      <c r="E18">
        <v>0</v>
      </c>
      <c r="F18">
        <v>0</v>
      </c>
      <c r="G18" s="5">
        <v>246.22399999999999</v>
      </c>
      <c r="H18">
        <v>246.22399999999999</v>
      </c>
    </row>
    <row r="19" spans="1:8" x14ac:dyDescent="0.25">
      <c r="A19">
        <v>25</v>
      </c>
      <c r="B19" s="6">
        <v>44961</v>
      </c>
      <c r="C19" t="s">
        <v>9</v>
      </c>
      <c r="D19" t="s">
        <v>0</v>
      </c>
      <c r="E19">
        <v>100</v>
      </c>
      <c r="F19">
        <v>0</v>
      </c>
      <c r="G19" s="5">
        <v>88.742000000000004</v>
      </c>
      <c r="H19">
        <v>188.74199999999999</v>
      </c>
    </row>
    <row r="20" spans="1:8" x14ac:dyDescent="0.25">
      <c r="A20">
        <v>24</v>
      </c>
      <c r="B20" s="6">
        <v>44960</v>
      </c>
      <c r="C20" t="s">
        <v>11</v>
      </c>
      <c r="D20" t="s">
        <v>1</v>
      </c>
      <c r="E20">
        <v>100</v>
      </c>
      <c r="F20">
        <v>0</v>
      </c>
      <c r="G20" s="5">
        <v>107</v>
      </c>
      <c r="H20">
        <v>207</v>
      </c>
    </row>
    <row r="21" spans="1:8" x14ac:dyDescent="0.25">
      <c r="A21">
        <v>23</v>
      </c>
      <c r="B21" s="6">
        <v>44960</v>
      </c>
      <c r="C21" t="s">
        <v>11</v>
      </c>
      <c r="D21" t="s">
        <v>0</v>
      </c>
      <c r="E21">
        <v>50</v>
      </c>
      <c r="F21">
        <v>0</v>
      </c>
      <c r="G21" s="5">
        <v>82.95</v>
      </c>
      <c r="H21">
        <v>132.94999999999999</v>
      </c>
    </row>
    <row r="22" spans="1:8" x14ac:dyDescent="0.25">
      <c r="A22">
        <v>22</v>
      </c>
      <c r="B22" s="6">
        <v>44960</v>
      </c>
      <c r="C22" t="s">
        <v>10</v>
      </c>
      <c r="D22" t="s">
        <v>1</v>
      </c>
      <c r="E22">
        <v>100</v>
      </c>
      <c r="F22">
        <v>0</v>
      </c>
      <c r="G22" s="5">
        <v>73.263999999999996</v>
      </c>
      <c r="H22">
        <v>173.26400000000001</v>
      </c>
    </row>
    <row r="23" spans="1:8" x14ac:dyDescent="0.25">
      <c r="A23">
        <v>21</v>
      </c>
      <c r="B23" s="6">
        <v>44960</v>
      </c>
      <c r="C23" t="s">
        <v>10</v>
      </c>
      <c r="D23" t="s">
        <v>0</v>
      </c>
      <c r="E23">
        <v>60</v>
      </c>
      <c r="F23">
        <v>0</v>
      </c>
      <c r="G23" s="5">
        <v>69.588999999999999</v>
      </c>
      <c r="H23">
        <v>129.589</v>
      </c>
    </row>
    <row r="24" spans="1:8" x14ac:dyDescent="0.25">
      <c r="A24">
        <v>20</v>
      </c>
      <c r="B24" s="6">
        <v>44960</v>
      </c>
      <c r="C24" t="s">
        <v>9</v>
      </c>
      <c r="D24" t="s">
        <v>1</v>
      </c>
      <c r="E24">
        <v>200</v>
      </c>
      <c r="F24">
        <v>0</v>
      </c>
      <c r="G24" s="5">
        <v>193.38</v>
      </c>
      <c r="H24">
        <v>393.38</v>
      </c>
    </row>
    <row r="25" spans="1:8" x14ac:dyDescent="0.25">
      <c r="A25">
        <v>19</v>
      </c>
      <c r="B25" s="6">
        <v>44960</v>
      </c>
      <c r="C25" t="s">
        <v>9</v>
      </c>
      <c r="D25" t="s">
        <v>0</v>
      </c>
      <c r="E25">
        <v>0</v>
      </c>
      <c r="F25">
        <v>0</v>
      </c>
      <c r="G25" s="5">
        <v>204.17</v>
      </c>
      <c r="H25">
        <v>204.17</v>
      </c>
    </row>
    <row r="26" spans="1:8" x14ac:dyDescent="0.25">
      <c r="A26">
        <v>18</v>
      </c>
      <c r="B26" s="6">
        <v>44960</v>
      </c>
      <c r="C26" t="s">
        <v>8</v>
      </c>
      <c r="D26" t="s">
        <v>1</v>
      </c>
      <c r="E26">
        <v>0</v>
      </c>
      <c r="F26">
        <v>0</v>
      </c>
      <c r="G26" s="5">
        <v>146.072</v>
      </c>
      <c r="H26">
        <v>146.072</v>
      </c>
    </row>
    <row r="27" spans="1:8" x14ac:dyDescent="0.25">
      <c r="A27">
        <v>17</v>
      </c>
      <c r="B27" s="6">
        <v>44960</v>
      </c>
      <c r="C27" t="s">
        <v>8</v>
      </c>
      <c r="D27" t="s">
        <v>0</v>
      </c>
      <c r="E27">
        <v>100</v>
      </c>
      <c r="F27">
        <v>0</v>
      </c>
      <c r="G27" s="5">
        <v>82.381</v>
      </c>
      <c r="H27">
        <v>182.381</v>
      </c>
    </row>
    <row r="28" spans="1:8" x14ac:dyDescent="0.25">
      <c r="A28">
        <v>16</v>
      </c>
      <c r="B28" s="6">
        <v>44959</v>
      </c>
      <c r="C28" t="s">
        <v>11</v>
      </c>
      <c r="D28" t="s">
        <v>1</v>
      </c>
      <c r="E28">
        <v>0</v>
      </c>
      <c r="F28">
        <v>160</v>
      </c>
      <c r="G28" s="5">
        <v>120.224</v>
      </c>
      <c r="H28">
        <v>280.22399999999999</v>
      </c>
    </row>
    <row r="29" spans="1:8" x14ac:dyDescent="0.25">
      <c r="A29">
        <v>15</v>
      </c>
      <c r="B29" s="6">
        <v>44959</v>
      </c>
      <c r="C29" t="s">
        <v>11</v>
      </c>
      <c r="D29" t="s">
        <v>0</v>
      </c>
      <c r="E29">
        <v>0</v>
      </c>
      <c r="F29">
        <v>0</v>
      </c>
      <c r="G29" s="5">
        <v>122.56100000000001</v>
      </c>
      <c r="H29">
        <v>122.56100000000001</v>
      </c>
    </row>
    <row r="30" spans="1:8" x14ac:dyDescent="0.25">
      <c r="A30">
        <v>14</v>
      </c>
      <c r="B30" s="6">
        <v>44958</v>
      </c>
      <c r="C30" t="s">
        <v>11</v>
      </c>
      <c r="D30" t="s">
        <v>1</v>
      </c>
      <c r="E30">
        <v>0</v>
      </c>
      <c r="F30">
        <v>0</v>
      </c>
      <c r="G30" s="5">
        <v>209.56</v>
      </c>
      <c r="H30">
        <v>209.56</v>
      </c>
    </row>
    <row r="31" spans="1:8" x14ac:dyDescent="0.25">
      <c r="A31">
        <v>13</v>
      </c>
      <c r="B31" s="6">
        <v>44958</v>
      </c>
      <c r="C31" t="s">
        <v>11</v>
      </c>
      <c r="D31" t="s">
        <v>0</v>
      </c>
      <c r="E31">
        <v>55</v>
      </c>
      <c r="F31">
        <v>0</v>
      </c>
      <c r="G31" s="5">
        <v>61</v>
      </c>
      <c r="H31">
        <v>116</v>
      </c>
    </row>
    <row r="32" spans="1:8" x14ac:dyDescent="0.25">
      <c r="A32">
        <v>12</v>
      </c>
      <c r="B32" s="6">
        <v>44959</v>
      </c>
      <c r="C32" t="s">
        <v>10</v>
      </c>
      <c r="D32" t="s">
        <v>1</v>
      </c>
      <c r="E32">
        <v>0</v>
      </c>
      <c r="F32">
        <v>0</v>
      </c>
      <c r="G32" s="5">
        <v>134.88</v>
      </c>
      <c r="H32">
        <v>134.88</v>
      </c>
    </row>
    <row r="33" spans="1:8" x14ac:dyDescent="0.25">
      <c r="A33">
        <v>11</v>
      </c>
      <c r="B33" s="6">
        <v>44959</v>
      </c>
      <c r="C33" t="s">
        <v>10</v>
      </c>
      <c r="D33" t="s">
        <v>0</v>
      </c>
      <c r="E33">
        <v>0</v>
      </c>
      <c r="F33">
        <v>0</v>
      </c>
      <c r="G33" s="5">
        <v>98.39</v>
      </c>
      <c r="H33">
        <v>98.39</v>
      </c>
    </row>
    <row r="34" spans="1:8" x14ac:dyDescent="0.25">
      <c r="A34">
        <v>10</v>
      </c>
      <c r="B34" s="6">
        <v>44958</v>
      </c>
      <c r="C34" t="s">
        <v>10</v>
      </c>
      <c r="D34" t="s">
        <v>1</v>
      </c>
      <c r="E34">
        <v>0</v>
      </c>
      <c r="F34">
        <v>0</v>
      </c>
      <c r="G34" s="5">
        <v>239.08</v>
      </c>
      <c r="H34">
        <v>239.08</v>
      </c>
    </row>
    <row r="35" spans="1:8" x14ac:dyDescent="0.25">
      <c r="A35">
        <v>9</v>
      </c>
      <c r="B35" s="6">
        <v>44958</v>
      </c>
      <c r="C35" t="s">
        <v>10</v>
      </c>
      <c r="D35" t="s">
        <v>0</v>
      </c>
      <c r="E35">
        <v>25</v>
      </c>
      <c r="F35">
        <v>0</v>
      </c>
      <c r="G35" s="5">
        <v>112.935</v>
      </c>
      <c r="H35">
        <v>137.935</v>
      </c>
    </row>
    <row r="36" spans="1:8" x14ac:dyDescent="0.25">
      <c r="A36">
        <v>8</v>
      </c>
      <c r="B36" s="6">
        <v>44959</v>
      </c>
      <c r="C36" t="s">
        <v>9</v>
      </c>
      <c r="D36" t="s">
        <v>0</v>
      </c>
      <c r="E36">
        <v>0</v>
      </c>
      <c r="F36">
        <v>0</v>
      </c>
      <c r="G36" s="5">
        <v>141.34399999999999</v>
      </c>
      <c r="H36">
        <v>141.34399999999999</v>
      </c>
    </row>
    <row r="37" spans="1:8" x14ac:dyDescent="0.25">
      <c r="A37">
        <v>7</v>
      </c>
      <c r="B37" s="6">
        <v>44959</v>
      </c>
      <c r="C37" t="s">
        <v>9</v>
      </c>
      <c r="D37" t="s">
        <v>1</v>
      </c>
      <c r="E37">
        <v>0</v>
      </c>
      <c r="F37">
        <v>170</v>
      </c>
      <c r="G37" s="5">
        <v>107.18899999999999</v>
      </c>
      <c r="H37">
        <v>277.18900000000002</v>
      </c>
    </row>
    <row r="38" spans="1:8" x14ac:dyDescent="0.25">
      <c r="A38">
        <v>6</v>
      </c>
      <c r="B38" s="6">
        <v>44958</v>
      </c>
      <c r="C38" t="s">
        <v>9</v>
      </c>
      <c r="D38" t="s">
        <v>1</v>
      </c>
      <c r="E38">
        <v>0</v>
      </c>
      <c r="F38">
        <v>500</v>
      </c>
      <c r="G38" s="5">
        <v>290.83</v>
      </c>
      <c r="H38">
        <v>790.83</v>
      </c>
    </row>
    <row r="39" spans="1:8" x14ac:dyDescent="0.25">
      <c r="A39">
        <v>5</v>
      </c>
      <c r="B39" s="6">
        <v>44958</v>
      </c>
      <c r="C39" t="s">
        <v>9</v>
      </c>
      <c r="D39" t="s">
        <v>0</v>
      </c>
      <c r="E39">
        <v>0</v>
      </c>
      <c r="F39">
        <v>0</v>
      </c>
      <c r="G39" s="5">
        <v>157.38999999999999</v>
      </c>
      <c r="H39">
        <v>157.38999999999999</v>
      </c>
    </row>
    <row r="40" spans="1:8" x14ac:dyDescent="0.25">
      <c r="A40">
        <v>1</v>
      </c>
      <c r="B40" s="6">
        <v>44958</v>
      </c>
      <c r="C40" t="s">
        <v>8</v>
      </c>
      <c r="D40" t="s">
        <v>0</v>
      </c>
      <c r="E40">
        <v>90</v>
      </c>
      <c r="F40">
        <v>0</v>
      </c>
      <c r="G40" s="5">
        <v>84.712999999999994</v>
      </c>
      <c r="H40">
        <v>174.71299999999999</v>
      </c>
    </row>
  </sheetData>
  <sortState xmlns:xlrd2="http://schemas.microsoft.com/office/spreadsheetml/2017/richdata2" ref="A2:H40">
    <sortCondition descending="1" ref="A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05"/>
  <sheetViews>
    <sheetView showGridLines="0" workbookViewId="0">
      <selection activeCell="H37" sqref="H37:I37"/>
    </sheetView>
  </sheetViews>
  <sheetFormatPr defaultRowHeight="15" x14ac:dyDescent="0.25"/>
  <cols>
    <col min="1" max="1" width="10.7109375" customWidth="1"/>
    <col min="2" max="2" width="7.140625" style="37" customWidth="1"/>
    <col min="3" max="3" width="7.28515625" style="32" customWidth="1"/>
    <col min="4" max="4" width="7" style="37" customWidth="1"/>
    <col min="5" max="5" width="7.5703125" style="32" customWidth="1"/>
    <col min="6" max="6" width="7.5703125" style="37" customWidth="1"/>
    <col min="7" max="7" width="7.5703125" style="32" customWidth="1"/>
    <col min="8" max="8" width="8.85546875" style="37" customWidth="1"/>
    <col min="9" max="9" width="8.85546875" style="32" customWidth="1"/>
    <col min="11" max="11" width="11.5703125" bestFit="1" customWidth="1"/>
  </cols>
  <sheetData>
    <row r="1" spans="1:11" ht="63.75" customHeight="1" thickBot="1" x14ac:dyDescent="0.3">
      <c r="A1" s="44" t="s">
        <v>19</v>
      </c>
      <c r="B1" s="44"/>
      <c r="C1" s="44"/>
      <c r="D1" s="44"/>
      <c r="E1" s="53" t="str">
        <f>H1</f>
        <v>Mathias Peter</v>
      </c>
      <c r="F1" s="53"/>
      <c r="G1" s="53"/>
      <c r="H1" s="52" t="s">
        <v>26</v>
      </c>
      <c r="I1" s="52"/>
    </row>
    <row r="2" spans="1:11" ht="15.75" customHeight="1" thickTop="1" thickBot="1" x14ac:dyDescent="0.3">
      <c r="A2" s="50" t="s">
        <v>7</v>
      </c>
      <c r="B2" s="48" t="s">
        <v>5</v>
      </c>
      <c r="C2" s="49"/>
      <c r="D2" s="49" t="s">
        <v>3</v>
      </c>
      <c r="E2" s="49"/>
      <c r="F2" s="49" t="s">
        <v>4</v>
      </c>
      <c r="G2" s="49"/>
      <c r="H2" s="49" t="s">
        <v>6</v>
      </c>
      <c r="I2" s="49"/>
    </row>
    <row r="3" spans="1:11" ht="15" customHeight="1" thickTop="1" thickBot="1" x14ac:dyDescent="0.3">
      <c r="A3" s="50"/>
      <c r="B3" s="21" t="s">
        <v>0</v>
      </c>
      <c r="C3" s="22" t="s">
        <v>1</v>
      </c>
      <c r="D3" s="22" t="s">
        <v>0</v>
      </c>
      <c r="E3" s="22" t="s">
        <v>1</v>
      </c>
      <c r="F3" s="23" t="s">
        <v>0</v>
      </c>
      <c r="G3" s="23" t="s">
        <v>1</v>
      </c>
      <c r="H3" s="23" t="s">
        <v>0</v>
      </c>
      <c r="I3" s="23" t="s">
        <v>1</v>
      </c>
    </row>
    <row r="4" spans="1:11" ht="14.25" customHeight="1" thickTop="1" x14ac:dyDescent="0.25">
      <c r="A4" s="13">
        <v>44986</v>
      </c>
      <c r="B4" s="24">
        <f>SUMIFS(Database!G:G,Database!D:D,Report!B3,Database!B:B,Report!A4,Database!C:C,Report!H1)</f>
        <v>0</v>
      </c>
      <c r="C4" s="25">
        <f>SUMIFS(Database!G:G,Database!D:D,Report!C3,Database!B:B,Report!A4,Database!C:C,Report!H1)</f>
        <v>0</v>
      </c>
      <c r="D4" s="26">
        <f>SUMIFS(Database!E:E,Database!D:D,Report!B3,Database!B:B,Report!A4,Database!C:C,Report!H1)</f>
        <v>0</v>
      </c>
      <c r="E4" s="25">
        <f>SUMIFS(Database!E:E,Database!D:D,Report!C3,Database!B:B,Report!A4,Database!C:C,Report!H1)</f>
        <v>0</v>
      </c>
      <c r="F4" s="26">
        <f>SUMIFS(Database!F:F,Database!D:D,Report!B3,Database!B:B,Report!A4,Database!C:C,Report!H1)</f>
        <v>0</v>
      </c>
      <c r="G4" s="25">
        <f>SUMIFS(Database!F:F,Database!D:D,Report!C3,Database!B:B,Report!A4,Database!C:C,Report!H1)</f>
        <v>0</v>
      </c>
      <c r="H4" s="26">
        <f t="shared" ref="H4:I6" si="0">B4+D4+F4</f>
        <v>0</v>
      </c>
      <c r="I4" s="25">
        <f t="shared" si="0"/>
        <v>0</v>
      </c>
    </row>
    <row r="5" spans="1:11" ht="14.25" customHeight="1" x14ac:dyDescent="0.25">
      <c r="A5" s="13">
        <f>A4+1</f>
        <v>44987</v>
      </c>
      <c r="B5" s="27">
        <f>SUMIFS(Database!G:G,Database!D:D,Report!B3,Database!B:B,Report!A5,Database!C:C,Report!H1)</f>
        <v>0</v>
      </c>
      <c r="C5" s="28">
        <f>SUMIFS(Database!G:G,Database!D:D,Report!C3,Database!B:B,Report!A5,Database!C:C,Report!H1)</f>
        <v>0</v>
      </c>
      <c r="D5" s="29">
        <f>SUMIFS(Database!E:E,Database!D:D,Report!B3,Database!B:B,Report!A5,Database!C:C,Report!H1)</f>
        <v>0</v>
      </c>
      <c r="E5" s="28">
        <f>SUMIFS(Database!E:E,Database!D:D,Report!C3,Database!B:B,Report!A5,Database!C:C,Report!H1)</f>
        <v>0</v>
      </c>
      <c r="F5" s="29">
        <f>SUMIFS(Database!F:F,Database!D:D,Report!B3,Database!B:B,Report!A5,Database!C:C,Report!H1)</f>
        <v>0</v>
      </c>
      <c r="G5" s="28">
        <f>SUMIFS(Database!F:F,Database!D:D,Report!C3,Database!B:B,Report!A5,Database!C:C,Report!H1)</f>
        <v>0</v>
      </c>
      <c r="H5" s="29">
        <f t="shared" si="0"/>
        <v>0</v>
      </c>
      <c r="I5" s="28">
        <f t="shared" si="0"/>
        <v>0</v>
      </c>
    </row>
    <row r="6" spans="1:11" ht="13.5" customHeight="1" x14ac:dyDescent="0.25">
      <c r="A6" s="13">
        <f t="shared" ref="A6:A34" si="1">A5+1</f>
        <v>44988</v>
      </c>
      <c r="B6" s="27">
        <f>SUMIFS(Database!G:G,Database!D:D,Report!B3,Database!B:B,Report!A6,Database!C:C,Report!H1)</f>
        <v>0</v>
      </c>
      <c r="C6" s="28">
        <f>SUMIFS(Database!G:G,Database!D:D,Report!C3,Database!B:B,Report!A6,Database!C:C,Report!H1)</f>
        <v>0</v>
      </c>
      <c r="D6" s="29">
        <f>SUMIFS(Database!E:E,Database!D:D,Report!B3,Database!B:B,Report!A6,Database!C:C,Report!H1)</f>
        <v>0</v>
      </c>
      <c r="E6" s="28">
        <f>SUMIFS(Database!E:E,Database!D:D,Report!C3,Database!B:B,Report!A6,Database!C:C,Report!H1)</f>
        <v>0</v>
      </c>
      <c r="F6" s="29">
        <f>SUMIFS(Database!F:F,Database!D:D,Report!B3,Database!B:B,Report!A6,Database!C:C,Report!H1)</f>
        <v>0</v>
      </c>
      <c r="G6" s="28">
        <f>SUMIFS(Database!F:F,Database!D:D,Report!C3,Database!B:B,Report!A6,Database!C:C,Report!H1)</f>
        <v>0</v>
      </c>
      <c r="H6" s="29">
        <f t="shared" si="0"/>
        <v>0</v>
      </c>
      <c r="I6" s="28">
        <f t="shared" si="0"/>
        <v>0</v>
      </c>
    </row>
    <row r="7" spans="1:11" ht="15.75" customHeight="1" x14ac:dyDescent="0.25">
      <c r="A7" s="13">
        <f t="shared" si="1"/>
        <v>44989</v>
      </c>
      <c r="B7" s="27">
        <f>SUMIFS(Database!G:G,Database!D:D,Report!B3,Database!B:B,Report!A7,Database!C:C,Report!H1)</f>
        <v>0</v>
      </c>
      <c r="C7" s="28">
        <f>SUMIFS(Database!G:G,Database!D:D,Report!C3,Database!B:B,Report!A7,Database!C:C,Report!H1)</f>
        <v>0</v>
      </c>
      <c r="D7" s="29">
        <f>SUMIFS(Database!E:E,Database!D:D,Report!B3,Database!B:B,Report!A7,Database!C:C,Report!H1)</f>
        <v>0</v>
      </c>
      <c r="E7" s="28">
        <f>SUMIFS(Database!E:E,Database!D:D,Report!C3,Database!B:B,Report!A7,Database!C:C,Report!H1)</f>
        <v>0</v>
      </c>
      <c r="F7" s="29">
        <f>SUMIFS(Database!F:F,Database!D:D,Report!B3,Database!B:B,Report!A7,Database!C:C,Report!H1)</f>
        <v>0</v>
      </c>
      <c r="G7" s="28">
        <f>SUMIFS(Database!F:F,Database!D:D,Report!C3,Database!B:B,Report!A7,Database!C:C,Report!H1)</f>
        <v>0</v>
      </c>
      <c r="H7" s="29">
        <f t="shared" ref="H7:H34" si="2">B7+D7+F7</f>
        <v>0</v>
      </c>
      <c r="I7" s="28">
        <f t="shared" ref="I7:I34" si="3">C7+E7+G7</f>
        <v>0</v>
      </c>
      <c r="J7" s="51"/>
      <c r="K7" s="47"/>
    </row>
    <row r="8" spans="1:11" ht="13.5" customHeight="1" x14ac:dyDescent="0.3">
      <c r="A8" s="13">
        <f t="shared" si="1"/>
        <v>44990</v>
      </c>
      <c r="B8" s="27">
        <f>SUMIFS(Database!G:G,Database!D:D,Report!B3,Database!B:B,Report!A8,Database!C:C,Report!H1)</f>
        <v>0</v>
      </c>
      <c r="C8" s="28">
        <f>SUMIFS(Database!G:G,Database!D:D,Report!C3,Database!B:B,Report!A8,Database!C:C,Report!H1)</f>
        <v>0</v>
      </c>
      <c r="D8" s="29">
        <f>SUMIFS(Database!E:E,Database!D:D,Report!B3,Database!B:B,Report!A8,Database!C:C,Report!H1)</f>
        <v>0</v>
      </c>
      <c r="E8" s="28">
        <f>SUMIFS(Database!E:E,Database!D:D,Report!C3,Database!B:B,Report!A8,Database!C:C,Report!H1)</f>
        <v>0</v>
      </c>
      <c r="F8" s="29">
        <f>SUMIFS(Database!F:F,Database!D:D,Report!B3,Database!B:B,Report!A8,Database!C:C,Report!H1)</f>
        <v>0</v>
      </c>
      <c r="G8" s="28">
        <f>SUMIFS(Database!F:F,Database!D:D,Report!C3,Database!B:B,Report!A8,Database!C:C,Report!H1)</f>
        <v>0</v>
      </c>
      <c r="H8" s="29">
        <f t="shared" si="2"/>
        <v>0</v>
      </c>
      <c r="I8" s="28">
        <f t="shared" si="3"/>
        <v>0</v>
      </c>
      <c r="J8" s="54"/>
      <c r="K8" s="55"/>
    </row>
    <row r="9" spans="1:11" ht="14.25" customHeight="1" x14ac:dyDescent="0.25">
      <c r="A9" s="13">
        <f t="shared" si="1"/>
        <v>44991</v>
      </c>
      <c r="B9" s="27">
        <f>SUMIFS(Database!G:G,Database!D:D,Report!B3,Database!B:B,Report!A9,Database!C:C,Report!H1)</f>
        <v>0</v>
      </c>
      <c r="C9" s="28">
        <f>SUMIFS(Database!G:G,Database!D:D,Report!C3,Database!B:B,Report!A9,Database!C:C,Report!H1)</f>
        <v>0</v>
      </c>
      <c r="D9" s="29">
        <f>SUMIFS(Database!E:E,Database!D:D,Report!B3,Database!B:B,Report!A9,Database!C:C,Report!H1)</f>
        <v>0</v>
      </c>
      <c r="E9" s="28">
        <f>SUMIFS(Database!E:E,Database!D:D,Report!C3,Database!B:B,Report!A9,Database!C:C,Report!H1)</f>
        <v>0</v>
      </c>
      <c r="F9" s="29">
        <f>SUMIFS(Database!F:F,Database!D:D,Report!B3,Database!B:B,Report!A9,Database!C:C,Report!H1)</f>
        <v>0</v>
      </c>
      <c r="G9" s="28">
        <f>SUMIFS(Database!F:F,Database!D:D,Report!C3,Database!B:B,Report!A9,Database!C:C,Report!H1)</f>
        <v>0</v>
      </c>
      <c r="H9" s="29">
        <f t="shared" si="2"/>
        <v>0</v>
      </c>
      <c r="I9" s="28">
        <f t="shared" si="3"/>
        <v>0</v>
      </c>
    </row>
    <row r="10" spans="1:11" ht="13.5" customHeight="1" x14ac:dyDescent="0.25">
      <c r="A10" s="13">
        <f t="shared" si="1"/>
        <v>44992</v>
      </c>
      <c r="B10" s="30">
        <f>SUMIFS(Database!G:G,Database!D:D,Report!B3,Database!B:B,Report!A10,Database!C:C,Report!H1)</f>
        <v>0</v>
      </c>
      <c r="C10" s="28">
        <f>SUMIFS(Database!G:G,Database!D:D,Report!C3,Database!B:B,Report!A10,Database!C:C,Report!H1)</f>
        <v>0</v>
      </c>
      <c r="D10" s="29">
        <f>SUMIFS(Database!E:E,Database!D:D,Report!B3,Database!B:B,Report!A10,Database!C:C,Report!H1)</f>
        <v>0</v>
      </c>
      <c r="E10" s="28">
        <f>SUMIFS(Database!E:E,Database!D:D,Report!C3,Database!B:B,Report!A10,Database!C:C,Report!H1)</f>
        <v>0</v>
      </c>
      <c r="F10" s="29">
        <f>SUMIFS(Database!F:F,Database!D:D,Report!B3,Database!B:B,Report!A10,Database!C:C,Report!H1)</f>
        <v>0</v>
      </c>
      <c r="G10" s="28">
        <f>SUMIFS(Database!F:F,Database!D:D,Report!C3,Database!B:B,Report!A10,Database!C:C,Report!H1)</f>
        <v>0</v>
      </c>
      <c r="H10" s="29">
        <f t="shared" si="2"/>
        <v>0</v>
      </c>
      <c r="I10" s="28">
        <f t="shared" si="3"/>
        <v>0</v>
      </c>
      <c r="K10" s="19"/>
    </row>
    <row r="11" spans="1:11" ht="14.25" customHeight="1" x14ac:dyDescent="0.25">
      <c r="A11" s="13">
        <f t="shared" si="1"/>
        <v>44993</v>
      </c>
      <c r="B11" s="27">
        <f>SUMIFS(Database!G:G,Database!D:D,Report!B3,Database!B:B,Report!A11,Database!C:C,Report!H1)</f>
        <v>0</v>
      </c>
      <c r="C11" s="28">
        <f>SUMIFS(Database!G:G,Database!D:D,Report!C3,Database!B:B,Report!A11,Database!C:C,Report!H1)</f>
        <v>0</v>
      </c>
      <c r="D11" s="29">
        <f>SUMIFS(Database!E:E,Database!D:D,Report!B3,Database!B:B,Report!A11,Database!C:C,Report!H1)</f>
        <v>0</v>
      </c>
      <c r="E11" s="28">
        <f>SUMIFS(Database!E:E,Database!D:D,Report!C3,Database!B:B,Report!A11,Database!C:C,Report!H1)</f>
        <v>0</v>
      </c>
      <c r="F11" s="29">
        <f>SUMIFS(Database!F:F,Database!D:D,Report!B3,Database!B:B,Report!A11,Database!C:C,Report!H1)</f>
        <v>0</v>
      </c>
      <c r="G11" s="28">
        <f>SUMIFS(Database!F:F,Database!D:D,Report!C3,Database!B:B,Report!A11,Database!C:C,Report!H1)</f>
        <v>0</v>
      </c>
      <c r="H11" s="29">
        <f t="shared" si="2"/>
        <v>0</v>
      </c>
      <c r="I11" s="28">
        <f t="shared" si="3"/>
        <v>0</v>
      </c>
    </row>
    <row r="12" spans="1:11" ht="15.75" customHeight="1" x14ac:dyDescent="0.25">
      <c r="A12" s="13">
        <f t="shared" si="1"/>
        <v>44994</v>
      </c>
      <c r="B12" s="29">
        <f>SUMIFS(Database!G:G,Database!D:D,Report!B3,Database!B:B,Report!A12,Database!C:C,Report!H1)</f>
        <v>0</v>
      </c>
      <c r="C12" s="28">
        <f>SUMIFS(Database!G:G,Database!D:D,Report!C3,Database!B:B,Report!A12,Database!C:C,Report!H1)</f>
        <v>0</v>
      </c>
      <c r="D12" s="29">
        <f>SUMIFS(Database!E:E,Database!D:D,Report!B3,Database!B:B,Report!A12,Database!C:C,Report!H1)</f>
        <v>0</v>
      </c>
      <c r="E12" s="28">
        <f>SUMIFS(Database!E:E,Database!D:D,Report!C3,Database!B:B,Report!A12,Database!C:C,Report!H1)</f>
        <v>0</v>
      </c>
      <c r="F12" s="29">
        <f>SUMIFS(Database!F:F,Database!D:D,Report!B3,Database!B:B,Report!A12,Database!C:C,Report!H1)</f>
        <v>0</v>
      </c>
      <c r="G12" s="28">
        <f>SUMIFS(Database!F:F,Database!D:D,Report!C3,Database!B:B,Report!A12,Database!C:C,Report!H1)</f>
        <v>0</v>
      </c>
      <c r="H12" s="29">
        <f t="shared" si="2"/>
        <v>0</v>
      </c>
      <c r="I12" s="28">
        <f t="shared" si="3"/>
        <v>0</v>
      </c>
    </row>
    <row r="13" spans="1:11" ht="15" customHeight="1" x14ac:dyDescent="0.25">
      <c r="A13" s="13">
        <f t="shared" si="1"/>
        <v>44995</v>
      </c>
      <c r="B13" s="29">
        <f>SUMIFS(Database!G:G,Database!D:D,Report!B3,Database!B:B,Report!A13,Database!C:C,Report!H1)</f>
        <v>0</v>
      </c>
      <c r="C13" s="28">
        <f>SUMIFS(Database!G:G,Database!D:D,Report!C3,Database!B:B,Report!A13,Database!C:C,Report!H1)</f>
        <v>0</v>
      </c>
      <c r="D13" s="29">
        <f>SUMIFS(Database!E:E,Database!D:D,Report!B3,Database!B:B,Report!A13,Database!C:C,Report!H1)</f>
        <v>0</v>
      </c>
      <c r="E13" s="28">
        <f>SUMIFS(Database!E:E,Database!D:D,Report!C3,Database!B:B,Report!A13,Database!C:C,Report!H1)</f>
        <v>0</v>
      </c>
      <c r="F13" s="29">
        <f>SUMIFS(Database!F:F,Database!D:D,Report!B3,Database!B:B,Report!A13,Database!C:C,Report!H1)</f>
        <v>0</v>
      </c>
      <c r="G13" s="28">
        <f>SUMIFS(Database!F:F,Database!D:D,Report!C3,Database!B:B,Report!A13,Database!C:C,Report!H1)</f>
        <v>0</v>
      </c>
      <c r="H13" s="29">
        <f t="shared" si="2"/>
        <v>0</v>
      </c>
      <c r="I13" s="28">
        <f t="shared" si="3"/>
        <v>0</v>
      </c>
    </row>
    <row r="14" spans="1:11" ht="14.25" customHeight="1" x14ac:dyDescent="0.25">
      <c r="A14" s="13">
        <f t="shared" si="1"/>
        <v>44996</v>
      </c>
      <c r="B14" s="29">
        <f>SUMIFS(Database!G:G,Database!D:D,Report!B3,Database!B:B,Report!A14,Database!C:C,Report!H1)</f>
        <v>0</v>
      </c>
      <c r="C14" s="28">
        <f>SUMIFS(Database!G:G,Database!D:D,Report!C3,Database!B:B,Report!A14,Database!C:C,Report!H1)</f>
        <v>0</v>
      </c>
      <c r="D14" s="29">
        <f>SUMIFS(Database!E:E,Database!D:D,Report!B3,Database!B:B,Report!A14,Database!C:C,Report!H1)</f>
        <v>0</v>
      </c>
      <c r="E14" s="28">
        <f>SUMIFS(Database!E:E,Database!D:D,Report!C3,Database!B:B,Report!A14,Database!C:C,Report!H1)</f>
        <v>0</v>
      </c>
      <c r="F14" s="29">
        <f>SUMIFS(Database!F:F,Database!D:D,Report!B3,Database!B:B,Report!A14,Database!C:C,Report!H1)</f>
        <v>0</v>
      </c>
      <c r="G14" s="28">
        <f>SUMIFS(Database!F:F,Database!D:D,Report!C3,Database!B:B,Report!A14,Database!C:C,Report!H1)</f>
        <v>0</v>
      </c>
      <c r="H14" s="29">
        <f t="shared" si="2"/>
        <v>0</v>
      </c>
      <c r="I14" s="28">
        <f t="shared" si="3"/>
        <v>0</v>
      </c>
    </row>
    <row r="15" spans="1:11" ht="15" customHeight="1" x14ac:dyDescent="0.25">
      <c r="A15" s="13">
        <f t="shared" si="1"/>
        <v>44997</v>
      </c>
      <c r="B15" s="29">
        <f>SUMIFS(Database!G:G,Database!D:D,Report!B3,Database!B:B,Report!A115,Database!C:C,Report!H1)</f>
        <v>0</v>
      </c>
      <c r="C15" s="28">
        <f>SUMIFS(Database!G:G,Database!D:D,Report!C3,Database!B:B,Report!A15,Database!C:C,Report!H1)</f>
        <v>0</v>
      </c>
      <c r="D15" s="29">
        <f>SUMIFS(Database!E:E,Database!D:D,Report!B3,Database!B:B,Report!A15,Database!C:C,Report!H1)</f>
        <v>0</v>
      </c>
      <c r="E15" s="28">
        <f>SUMIFS(Database!E:E,Database!D:D,Report!C3,Database!B:B,Report!A15,Database!C:C,Report!H1)</f>
        <v>0</v>
      </c>
      <c r="F15" s="29">
        <f>SUMIFS(Database!F:F,Database!D:D,Report!B3,Database!B:B,Report!A15,Database!C:C,Report!H1)</f>
        <v>0</v>
      </c>
      <c r="G15" s="28">
        <f>SUMIFS(Database!F:F,Database!D:D,Report!C3,Database!B:B,Report!A15,Database!C:C,Report!H1)</f>
        <v>0</v>
      </c>
      <c r="H15" s="29">
        <f t="shared" si="2"/>
        <v>0</v>
      </c>
      <c r="I15" s="28">
        <f t="shared" si="3"/>
        <v>0</v>
      </c>
    </row>
    <row r="16" spans="1:11" ht="15" customHeight="1" x14ac:dyDescent="0.25">
      <c r="A16" s="13">
        <f t="shared" si="1"/>
        <v>44998</v>
      </c>
      <c r="B16" s="29">
        <f>SUMIFS(Database!G:G,Database!D:D,Report!B3,Database!B:B,Report!A16,Database!C:C,Report!H1)</f>
        <v>0</v>
      </c>
      <c r="C16" s="28">
        <f>SUMIFS(Database!G:G,Database!D:D,Report!C3,Database!B:B,Report!A16,Database!C:C,Report!H1)</f>
        <v>0</v>
      </c>
      <c r="D16" s="29">
        <f>SUMIFS(Database!E:E,Database!D:D,Report!B3,Database!B:B,Report!A16,Database!C:C,Report!H1)</f>
        <v>0</v>
      </c>
      <c r="E16" s="28">
        <f>SUMIFS(Database!E:E,Database!D:D,Report!C3,Database!B:B,Report!A16,Database!C:C,Report!H1)</f>
        <v>0</v>
      </c>
      <c r="F16" s="29">
        <f>SUMIFS(Database!F:F,Database!D:D,Report!B3,Database!B:B,Report!A16,Database!C:C,Report!H1)</f>
        <v>0</v>
      </c>
      <c r="G16" s="28">
        <f>SUMIFS(Database!F:F,Database!D:D,Report!C3,Database!B:B,Report!A16,Database!C:C,Report!H1)</f>
        <v>0</v>
      </c>
      <c r="H16" s="29">
        <f t="shared" si="2"/>
        <v>0</v>
      </c>
      <c r="I16" s="28">
        <f t="shared" si="3"/>
        <v>0</v>
      </c>
    </row>
    <row r="17" spans="1:12" ht="15" customHeight="1" x14ac:dyDescent="0.25">
      <c r="A17" s="13">
        <f t="shared" si="1"/>
        <v>44999</v>
      </c>
      <c r="B17" s="29">
        <f>SUMIFS(Database!G:G,Database!D:D,Report!B3,Database!B:B,Report!A17,Database!C:C,Report!H1)</f>
        <v>0</v>
      </c>
      <c r="C17" s="28">
        <f>SUMIFS(Database!G:G,Database!D:D,Report!C3,Database!B:B,Report!A17,Database!C:C,Report!H1)</f>
        <v>0</v>
      </c>
      <c r="D17" s="29">
        <f>SUMIFS(Database!E:E,Database!D:D,Report!B3,Database!B:B,Report!A17,Database!C:C,Report!H1)</f>
        <v>0</v>
      </c>
      <c r="E17" s="28">
        <f>SUMIFS(Database!E:E,Database!D:D,Report!C3,Database!B:B,Report!A17,Database!C:C,Report!H1)</f>
        <v>0</v>
      </c>
      <c r="F17" s="29">
        <f>SUMIFS(Database!F:F,Database!D:D,Report!B3,Database!B:B,Report!A17,Database!C:C,Report!H1)</f>
        <v>0</v>
      </c>
      <c r="G17" s="28">
        <f>SUMIFS(Database!F:F,Database!D:D,Report!C3,Database!B:B,Report!A17,Database!C:C,Report!H1)</f>
        <v>0</v>
      </c>
      <c r="H17" s="29">
        <f t="shared" si="2"/>
        <v>0</v>
      </c>
      <c r="I17" s="28">
        <f t="shared" si="3"/>
        <v>0</v>
      </c>
    </row>
    <row r="18" spans="1:12" ht="13.5" customHeight="1" x14ac:dyDescent="0.25">
      <c r="A18" s="13">
        <f t="shared" si="1"/>
        <v>45000</v>
      </c>
      <c r="B18" s="29">
        <f>SUMIFS(Database!G:G,Database!D:D,Report!B3,Database!B:B,Report!A18,Database!C:C,Report!H1)</f>
        <v>0</v>
      </c>
      <c r="C18" s="28">
        <f>SUMIFS(Database!G:G,Database!D:D,Report!C3,Database!B:B,Report!A18,Database!C:C,Report!H1)</f>
        <v>0</v>
      </c>
      <c r="D18" s="29">
        <f>SUMIFS(Database!E:E,Database!D:D,Report!B3,Database!B:B,Report!A18,Database!C:C,Report!H1)</f>
        <v>0</v>
      </c>
      <c r="E18" s="28">
        <f>SUMIFS(Database!E:E,Database!D:D,Report!C3,Database!B:B,Report!A18,Database!C:C,Report!H1)</f>
        <v>0</v>
      </c>
      <c r="F18" s="29">
        <f>SUMIFS(Database!F:F,Database!D:D,Report!B3,Database!B:B,Report!A418,Database!C:C,Report!H1)</f>
        <v>0</v>
      </c>
      <c r="G18" s="28">
        <f>SUMIFS(Database!F:F,Database!D:D,Report!C3,Database!B:B,Report!A18,Database!C:C,Report!H1)</f>
        <v>0</v>
      </c>
      <c r="H18" s="29">
        <f t="shared" si="2"/>
        <v>0</v>
      </c>
      <c r="I18" s="28">
        <f t="shared" si="3"/>
        <v>0</v>
      </c>
    </row>
    <row r="19" spans="1:12" ht="14.25" customHeight="1" x14ac:dyDescent="0.25">
      <c r="A19" s="13">
        <f t="shared" si="1"/>
        <v>45001</v>
      </c>
      <c r="B19" s="29">
        <f>SUMIFS(Database!G:G,Database!D:D,Report!B3,Database!B:B,Report!A19,Database!C:C,Report!H1)</f>
        <v>0</v>
      </c>
      <c r="C19" s="28">
        <f>SUMIFS(Database!G:G,Database!D:D,Report!C3,Database!B:B,Report!A19,Database!C:C,Report!H1)</f>
        <v>0</v>
      </c>
      <c r="D19" s="29">
        <f>SUMIFS(Database!E:E,Database!D:D,Report!B3,Database!B:B,Report!A19,Database!C:C,Report!H1)</f>
        <v>0</v>
      </c>
      <c r="E19" s="28">
        <f>SUMIFS(Database!E:E,Database!D:D,Report!C3,Database!B:B,Report!A19,Database!C:C,Report!H1)</f>
        <v>0</v>
      </c>
      <c r="F19" s="29">
        <f>SUMIFS(Database!F:F,Database!D:D,Report!B3,Database!B:B,Report!A19,Database!C:C,Report!H1)</f>
        <v>0</v>
      </c>
      <c r="G19" s="28">
        <f>SUMIFS(Database!F:F,Database!D:D,Report!C3,Database!B:B,Report!A19,Database!C:C,Report!H1)</f>
        <v>0</v>
      </c>
      <c r="H19" s="29">
        <f t="shared" si="2"/>
        <v>0</v>
      </c>
      <c r="I19" s="28">
        <f t="shared" si="3"/>
        <v>0</v>
      </c>
    </row>
    <row r="20" spans="1:12" ht="13.5" customHeight="1" x14ac:dyDescent="0.25">
      <c r="A20" s="13">
        <f t="shared" si="1"/>
        <v>45002</v>
      </c>
      <c r="B20" s="29">
        <f>SUMIFS(Database!G:G,Database!D:D,Report!B3,Database!B:B,Report!A20,Database!C:C,Report!H1)</f>
        <v>0</v>
      </c>
      <c r="C20" s="28">
        <f>SUMIFS(Database!G:G,Database!D:D,Report!C3,Database!B:B,Report!A20,Database!C:C,Report!H1)</f>
        <v>0</v>
      </c>
      <c r="D20" s="29">
        <f>SUMIFS(Database!E:E,Database!D:D,Report!B3,Database!B:B,Report!A20,Database!C:C,Report!H1)</f>
        <v>0</v>
      </c>
      <c r="E20" s="28">
        <f>SUMIFS(Database!E:E,Database!D:D,Report!C3,Database!B:B,Report!A20,Database!C:C,Report!H1)</f>
        <v>0</v>
      </c>
      <c r="F20" s="29">
        <f>SUMIFS(Database!F:F,Database!D:D,Report!B3,Database!B:B,Report!A20,Database!C:C,Report!H1)</f>
        <v>0</v>
      </c>
      <c r="G20" s="28">
        <f>SUMIFS(Database!F:F,Database!D:D,Report!C3,Database!B:B,Report!A20,Database!C:C,Report!H1)</f>
        <v>0</v>
      </c>
      <c r="H20" s="29">
        <f t="shared" si="2"/>
        <v>0</v>
      </c>
      <c r="I20" s="28">
        <f t="shared" si="3"/>
        <v>0</v>
      </c>
    </row>
    <row r="21" spans="1:12" ht="14.25" customHeight="1" x14ac:dyDescent="0.25">
      <c r="A21" s="13">
        <f t="shared" si="1"/>
        <v>45003</v>
      </c>
      <c r="B21" s="29">
        <f>SUMIFS(Database!G:G,Database!D:D,Report!B3,Database!B:B,Report!A21,Database!C:C,Report!H1)</f>
        <v>0</v>
      </c>
      <c r="C21" s="28">
        <f>SUMIFS(Database!G:G,Database!D:D,Report!C3,Database!B:B,Report!A21,Database!C:C,Report!H1)</f>
        <v>0</v>
      </c>
      <c r="D21" s="29">
        <f>SUMIFS(Database!E:E,Database!D:D,Report!B3,Database!B:B,Report!A21,Database!C:C,Report!H1)</f>
        <v>0</v>
      </c>
      <c r="E21" s="28">
        <f>SUMIFS(Database!E:E,Database!D:D,Report!C3,Database!B:B,Report!A21,Database!C:C,Report!H1)</f>
        <v>0</v>
      </c>
      <c r="F21" s="29">
        <f>SUMIFS(Database!F:F,Database!D:D,Report!B3,Database!B:B,Report!A21,Database!C:C,Report!H1)</f>
        <v>0</v>
      </c>
      <c r="G21" s="28">
        <f>SUMIFS(Database!F:F,Database!D:D,Report!C3,Database!B:B,Report!A21,Database!C:C,Report!H1)</f>
        <v>0</v>
      </c>
      <c r="H21" s="29">
        <f t="shared" si="2"/>
        <v>0</v>
      </c>
      <c r="I21" s="28">
        <f t="shared" si="3"/>
        <v>0</v>
      </c>
      <c r="L21" t="s">
        <v>12</v>
      </c>
    </row>
    <row r="22" spans="1:12" ht="13.5" customHeight="1" x14ac:dyDescent="0.25">
      <c r="A22" s="13">
        <f t="shared" si="1"/>
        <v>45004</v>
      </c>
      <c r="B22" s="29">
        <f>SUMIFS(Database!G:G,Database!D:D,Report!B3,Database!B:B,Report!A22,Database!C:C,Report!H1)</f>
        <v>0</v>
      </c>
      <c r="C22" s="28">
        <f>SUMIFS(Database!G:G,Database!D:D,Report!C3,Database!B:B,Report!A22,Database!C:C,Report!H1)</f>
        <v>0</v>
      </c>
      <c r="D22" s="29">
        <f>SUMIFS(Database!E:E,Database!D:D,Report!B3,Database!B:B,Report!A22,Database!C:C,Report!H1)</f>
        <v>0</v>
      </c>
      <c r="E22" s="28">
        <f>SUMIFS(Database!E:E,Database!D:D,Report!C3,Database!B:B,Report!A22,Database!C:C,Report!H1)</f>
        <v>0</v>
      </c>
      <c r="F22" s="29">
        <f>SUMIFS(Database!F:F,Database!D:D,Report!B3,Database!B:B,Report!A22,Database!C:C,Report!H1)</f>
        <v>0</v>
      </c>
      <c r="G22" s="28">
        <f>SUMIFS(Database!F:F,Database!D:D,Report!C3,Database!B:B,Report!A22,Database!C:C,Report!H1)</f>
        <v>0</v>
      </c>
      <c r="H22" s="29">
        <f t="shared" si="2"/>
        <v>0</v>
      </c>
      <c r="I22" s="28">
        <f t="shared" si="3"/>
        <v>0</v>
      </c>
    </row>
    <row r="23" spans="1:12" ht="14.25" customHeight="1" x14ac:dyDescent="0.25">
      <c r="A23" s="13">
        <f t="shared" si="1"/>
        <v>45005</v>
      </c>
      <c r="B23" s="29">
        <f>SUMIFS(Database!G:G,Database!D:D,Report!B3,Database!B:B,Report!A23,Database!C:C,Report!H1)</f>
        <v>0</v>
      </c>
      <c r="C23" s="28">
        <f>SUMIFS(Database!G:G,Database!D:D,Report!C3,Database!B:B,Report!A23,Database!C:C,Report!H1)</f>
        <v>0</v>
      </c>
      <c r="D23" s="29">
        <f>SUMIFS(Database!E:E,Database!D:D,Report!B3,Database!B:B,Report!A23,Database!C:C,Report!H1)</f>
        <v>0</v>
      </c>
      <c r="E23" s="28">
        <f>SUMIFS(Database!E:E,Database!D:D,Report!C3,Database!B:B,Report!A23,Database!C:C,Report!H1)</f>
        <v>0</v>
      </c>
      <c r="F23" s="29">
        <f>SUMIFS(Database!F:F,Database!D:D,Report!B3,Database!B:B,Report!A23,Database!C:C,Report!H1)</f>
        <v>0</v>
      </c>
      <c r="G23" s="28">
        <f>SUMIFS(Database!F:F,Database!D:D,Report!C3,Database!B:B,Report!A23,Database!C:C,Report!H1)</f>
        <v>0</v>
      </c>
      <c r="H23" s="29">
        <f t="shared" si="2"/>
        <v>0</v>
      </c>
      <c r="I23" s="28">
        <f>C23+E23+G23</f>
        <v>0</v>
      </c>
    </row>
    <row r="24" spans="1:12" ht="15" customHeight="1" x14ac:dyDescent="0.25">
      <c r="A24" s="13">
        <f t="shared" si="1"/>
        <v>45006</v>
      </c>
      <c r="B24" s="29">
        <f>SUMIFS(Database!G:G,Database!D:D,Report!B3,Database!B:B,Report!A24,Database!C:C,Report!H1)</f>
        <v>0</v>
      </c>
      <c r="C24" s="28">
        <f>SUMIFS(Database!G:G,Database!D:D,Report!C3,Database!B:B,Report!A24,Database!C:C,Report!H1)</f>
        <v>0</v>
      </c>
      <c r="D24" s="29">
        <f>SUMIFS(Database!E:E,Database!D:D,Report!B3,Database!B:B,Report!A24,Database!C:C,Report!H1)</f>
        <v>0</v>
      </c>
      <c r="E24" s="28">
        <f>SUMIFS(Database!E:E,Database!D:D,Report!C3,Database!B:B,Report!A24,Database!C:C,Report!H1)</f>
        <v>0</v>
      </c>
      <c r="F24" s="29">
        <f>SUMIFS(Database!F:F,Database!D:D,Report!B3,Database!B:B,Report!A24,Database!C:C,Report!H1)</f>
        <v>0</v>
      </c>
      <c r="G24" s="28">
        <f>SUMIFS(Database!F:F,Database!D:D,Report!C3,Database!B:B,Report!A24,Database!C:C,Report!H1)</f>
        <v>0</v>
      </c>
      <c r="H24" s="29">
        <f t="shared" si="2"/>
        <v>0</v>
      </c>
      <c r="I24" s="28">
        <f t="shared" si="3"/>
        <v>0</v>
      </c>
    </row>
    <row r="25" spans="1:12" ht="14.25" customHeight="1" x14ac:dyDescent="0.25">
      <c r="A25" s="13">
        <f t="shared" si="1"/>
        <v>45007</v>
      </c>
      <c r="B25" s="29">
        <f>SUMIFS(Database!G:G,Database!D:D,Report!B3,Database!B:B,Report!A25,Database!C:C,Report!H1)</f>
        <v>0</v>
      </c>
      <c r="C25" s="28">
        <f>SUMIFS(Database!G:G,Database!D:D,Report!C3,Database!B:B,Report!A25,Database!C:C,Report!H1)</f>
        <v>0</v>
      </c>
      <c r="D25" s="29">
        <f>SUMIFS(Database!E:E,Database!D:D,Report!B3,Database!B:B,Report!A25,Database!C:C,Report!H1)</f>
        <v>0</v>
      </c>
      <c r="E25" s="28">
        <f>SUMIFS(Database!E:E,Database!D:D,Report!C3,Database!B:B,Report!A25,Database!C:C,Report!H1)</f>
        <v>0</v>
      </c>
      <c r="F25" s="29">
        <f>SUMIFS(Database!F:F,Database!D:D,Report!B3,Database!B:B,Report!A25,Database!C:C,Report!H1)</f>
        <v>0</v>
      </c>
      <c r="G25" s="28">
        <f>SUMIFS(Database!F:F,Database!D:D,Report!C3,Database!B:B,Report!A25,Database!C:C,Report!H1)</f>
        <v>0</v>
      </c>
      <c r="H25" s="29">
        <f t="shared" si="2"/>
        <v>0</v>
      </c>
      <c r="I25" s="28">
        <f t="shared" si="3"/>
        <v>0</v>
      </c>
    </row>
    <row r="26" spans="1:12" ht="14.25" customHeight="1" x14ac:dyDescent="0.25">
      <c r="A26" s="13">
        <f t="shared" si="1"/>
        <v>45008</v>
      </c>
      <c r="B26" s="29">
        <f>SUMIFS(Database!G:G,Database!D:D,Report!B3,Database!B:B,Report!A26,Database!C:C,Report!H1)</f>
        <v>0</v>
      </c>
      <c r="C26" s="28">
        <f>SUMIFS(Database!G:G,Database!D:D,Report!C3,Database!B:B,Report!A26,Database!C:C,Report!H1)</f>
        <v>0</v>
      </c>
      <c r="D26" s="29">
        <f>SUMIFS(Database!E:E,Database!D:D,Report!B3,Database!B:B,Report!A26,Database!C:C,Report!H1)</f>
        <v>0</v>
      </c>
      <c r="E26" s="28">
        <f>SUMIFS(Database!E:E,Database!D:D,Report!C3,Database!B:B,Report!A26,Database!C:C,Report!H1)</f>
        <v>0</v>
      </c>
      <c r="F26" s="29">
        <f>SUMIFS(Database!F:F,Database!D:D,Report!B3,Database!B:B,Report!A26,Database!C:C,Report!H1)</f>
        <v>0</v>
      </c>
      <c r="G26" s="28">
        <f>SUMIFS(Database!F:F,Database!D:D,Report!C3,Database!B:B,Report!A26,Database!C:C,Report!H1)</f>
        <v>0</v>
      </c>
      <c r="H26" s="29">
        <f t="shared" si="2"/>
        <v>0</v>
      </c>
      <c r="I26" s="28">
        <f t="shared" si="3"/>
        <v>0</v>
      </c>
    </row>
    <row r="27" spans="1:12" ht="14.25" customHeight="1" x14ac:dyDescent="0.25">
      <c r="A27" s="13">
        <f t="shared" si="1"/>
        <v>45009</v>
      </c>
      <c r="B27" s="29">
        <f>SUMIFS(Database!G:G,Database!D:D,Report!B3,Database!B:B,Report!A27,Database!C:C,Report!H1)</f>
        <v>0</v>
      </c>
      <c r="C27" s="28">
        <f>SUMIFS(Database!G:G,Database!D:D,Report!C3,Database!B:B,Report!A27,Database!C:C,Report!H1)</f>
        <v>0</v>
      </c>
      <c r="D27" s="29">
        <f>SUMIFS(Database!E:E,Database!D:D,Report!B3,Database!B:B,Report!A27,Database!C:C,Report!H1)</f>
        <v>0</v>
      </c>
      <c r="E27" s="28">
        <f>SUMIFS(Database!E:E,Database!D:D,Report!C3,Database!B:B,Report!A27,Database!C:C,Report!H1)</f>
        <v>0</v>
      </c>
      <c r="F27" s="29">
        <f>SUMIFS(Database!F:F,Database!D:D,Report!B3,Database!B:B,Report!A27,Database!C:C,Report!H1)</f>
        <v>0</v>
      </c>
      <c r="G27" s="28">
        <f>SUMIFS(Database!F:F,Database!D:D,Report!C3,Database!B:B,Report!A27,Database!C:C,Report!H1)</f>
        <v>0</v>
      </c>
      <c r="H27" s="29">
        <f t="shared" si="2"/>
        <v>0</v>
      </c>
      <c r="I27" s="28">
        <f t="shared" si="3"/>
        <v>0</v>
      </c>
    </row>
    <row r="28" spans="1:12" ht="15" customHeight="1" x14ac:dyDescent="0.25">
      <c r="A28" s="13">
        <f t="shared" si="1"/>
        <v>45010</v>
      </c>
      <c r="B28" s="29">
        <f>SUMIFS(Database!G:G,Database!D:D,Report!B3,Database!B:B,Report!A28,Database!C:C,Report!H1)</f>
        <v>0</v>
      </c>
      <c r="C28" s="28">
        <f>SUMIFS(Database!G:G,Database!D:D,Report!C3,Database!B:B,Report!A28,Database!C:C,Report!H1)</f>
        <v>0</v>
      </c>
      <c r="D28" s="29">
        <f>SUMIFS(Database!E:E,Database!D:D,Report!B3,Database!B:B,Report!A28,Database!C:C,Report!H1)</f>
        <v>0</v>
      </c>
      <c r="E28" s="28">
        <f>SUMIFS(Database!E:E,Database!D:D,Report!C3,Database!B:B,Report!A28,Database!C:C,Report!H1)</f>
        <v>0</v>
      </c>
      <c r="F28" s="29">
        <f>SUMIFS(Database!F:F,Database!D:D,Report!B3,Database!B:B,Report!A28,Database!C:C,Report!H1)</f>
        <v>0</v>
      </c>
      <c r="G28" s="28">
        <f>SUMIFS(Database!F:F,Database!D:D,Report!C3,Database!B:B,Report!A28,Database!C:C,Report!H1)</f>
        <v>0</v>
      </c>
      <c r="H28" s="29">
        <f t="shared" si="2"/>
        <v>0</v>
      </c>
      <c r="I28" s="28">
        <f t="shared" si="3"/>
        <v>0</v>
      </c>
    </row>
    <row r="29" spans="1:12" ht="15" customHeight="1" x14ac:dyDescent="0.25">
      <c r="A29" s="13">
        <f t="shared" si="1"/>
        <v>45011</v>
      </c>
      <c r="B29" s="29">
        <f>SUMIFS(Database!G:G,Database!D:D,Report!B3,Database!B:B,Report!A29,Database!C:C,Report!H1)</f>
        <v>0</v>
      </c>
      <c r="C29" s="28">
        <f>SUMIFS(Database!G:G,Database!D:D,Report!C3,Database!B:B,Report!A29,Database!C:C,Report!H1)</f>
        <v>0</v>
      </c>
      <c r="D29" s="29">
        <f>SUMIFS(Database!E:E,Database!D:D,Report!B3,Database!B:B,Report!A29,Database!C:C,Report!H1)</f>
        <v>0</v>
      </c>
      <c r="E29" s="28">
        <f>SUMIFS(Database!E:E,Database!D:D,Report!C3,Database!B:B,Report!A29,Database!C:C,Report!H1)</f>
        <v>0</v>
      </c>
      <c r="F29" s="29">
        <f>SUMIFS(Database!F:F,Database!D:D,Report!B3,Database!B:B,Report!A29,Database!C:C,Report!H1)</f>
        <v>0</v>
      </c>
      <c r="G29" s="28">
        <f>SUMIFS(Database!F:F,Database!D:D,Report!C3,Database!B:B,Report!A29,Database!C:C,Report!H1)</f>
        <v>0</v>
      </c>
      <c r="H29" s="29">
        <f t="shared" si="2"/>
        <v>0</v>
      </c>
      <c r="I29" s="28">
        <f t="shared" si="3"/>
        <v>0</v>
      </c>
    </row>
    <row r="30" spans="1:12" ht="12.75" customHeight="1" x14ac:dyDescent="0.25">
      <c r="A30" s="13">
        <f t="shared" si="1"/>
        <v>45012</v>
      </c>
      <c r="B30" s="29">
        <f>SUMIFS(Database!G:G,Database!D:D,Report!B3,Database!B:B,Report!A30,Database!C:C,Report!H1)</f>
        <v>0</v>
      </c>
      <c r="C30" s="28">
        <f>SUMIFS(Database!G:G,Database!D:D,Report!C3,Database!B:B,Report!A30,Database!C:C,Report!H1)</f>
        <v>0</v>
      </c>
      <c r="D30" s="29">
        <f>SUMIFS(Database!E:E,Database!D:D,Report!B3,Database!B:B,Report!A30,Database!C:C,Report!H1)</f>
        <v>0</v>
      </c>
      <c r="E30" s="28">
        <f>SUMIFS(Database!E:E,Database!D:D,Report!C3,Database!B:B,Report!A30,Database!C:C,Report!H1)</f>
        <v>0</v>
      </c>
      <c r="F30" s="29">
        <f>SUMIFS(Database!F:F,Database!D:D,Report!B3,Database!B:B,Report!A30,Database!C:C,Report!H1)</f>
        <v>0</v>
      </c>
      <c r="G30" s="28">
        <f>SUMIFS(Database!F:F,Database!D:D,Report!C3,Database!B:B,Report!A30,Database!C:C,Report!H1)</f>
        <v>0</v>
      </c>
      <c r="H30" s="29">
        <f t="shared" si="2"/>
        <v>0</v>
      </c>
      <c r="I30" s="28">
        <f t="shared" si="3"/>
        <v>0</v>
      </c>
    </row>
    <row r="31" spans="1:12" ht="15.75" customHeight="1" x14ac:dyDescent="0.25">
      <c r="A31" s="13">
        <f t="shared" si="1"/>
        <v>45013</v>
      </c>
      <c r="B31" s="29">
        <f>SUMIFS(Database!G:G,Database!D:D,Report!B3,Database!B:B,Report!A31,Database!C:C,Report!H1)</f>
        <v>0</v>
      </c>
      <c r="C31" s="28">
        <f>SUMIFS(Database!G:G,Database!D:D,Report!C3,Database!B:B,Report!A31,Database!C:C,Report!H1)</f>
        <v>0</v>
      </c>
      <c r="D31" s="29">
        <f>SUMIFS(Database!E:E,Database!D:D,Report!B3,Database!B:B,Report!A31,Database!C:C,Report!H1)</f>
        <v>0</v>
      </c>
      <c r="E31" s="28">
        <f>SUMIFS(Database!E:E,Database!D:D,Report!C3,Database!B:B,Report!A31,Database!C:C,Report!H1)</f>
        <v>0</v>
      </c>
      <c r="F31" s="29">
        <f>SUMIFS(Database!F:F,Database!D:D,Report!B3,Database!B:B,Report!A31,Database!C:C,Report!H1)</f>
        <v>0</v>
      </c>
      <c r="G31" s="28">
        <f>SUMIFS(Database!F:F,Database!D:D,Report!C3,Database!B:B,Report!A31,Database!C:C,Report!H1)</f>
        <v>0</v>
      </c>
      <c r="H31" s="29">
        <f t="shared" si="2"/>
        <v>0</v>
      </c>
      <c r="I31" s="28">
        <f t="shared" si="3"/>
        <v>0</v>
      </c>
    </row>
    <row r="32" spans="1:12" ht="15" customHeight="1" x14ac:dyDescent="0.25">
      <c r="A32" s="13">
        <f t="shared" si="1"/>
        <v>45014</v>
      </c>
      <c r="B32" s="29">
        <f>SUMIFS(Database!G:G,Database!D:D,Report!B3,Database!B:B,Report!A32,Database!C:C,Report!H1)</f>
        <v>0</v>
      </c>
      <c r="C32" s="28">
        <f>SUMIFS(Database!G:G,Database!D:D,Report!C3,Database!B:B,Report!A32,Database!C:C,Report!H1)</f>
        <v>0</v>
      </c>
      <c r="D32" s="29">
        <f>SUMIFS(Database!E:E,Database!D:D,Report!B3,Database!B:B,Report!A32,Database!C:C,Report!H1)</f>
        <v>0</v>
      </c>
      <c r="E32" s="28">
        <f>SUMIFS(Database!E:E,Database!D:D,Report!C3,Database!B:B,Report!A32,Database!C:C,Report!H1)</f>
        <v>0</v>
      </c>
      <c r="F32" s="29">
        <f>SUMIFS(Database!F:F,Database!D:D,Report!B3,Database!B:B,Report!A32,Database!C:C,Report!H1)</f>
        <v>0</v>
      </c>
      <c r="G32" s="28">
        <f>SUMIFS(Database!F:F,Database!D:D,Report!C3,Database!B:B,Report!A32,Database!C:C,Report!H1)</f>
        <v>0</v>
      </c>
      <c r="H32" s="29">
        <f t="shared" si="2"/>
        <v>0</v>
      </c>
      <c r="I32" s="28">
        <f t="shared" si="3"/>
        <v>0</v>
      </c>
    </row>
    <row r="33" spans="1:11" ht="15" customHeight="1" x14ac:dyDescent="0.25">
      <c r="A33" s="13">
        <f t="shared" si="1"/>
        <v>45015</v>
      </c>
      <c r="B33" s="29">
        <f>SUMIFS(Database!G:G,Database!D:D,Report!B3,Database!B:B,Report!A33,Database!C:C,Report!H1)</f>
        <v>0</v>
      </c>
      <c r="C33" s="28">
        <f>SUMIFS(Database!G:G,Database!D:D,Report!C3,Database!B:B,Report!A33,Database!C:C,Report!H1)</f>
        <v>0</v>
      </c>
      <c r="D33" s="29">
        <f>SUMIFS(Database!E:E,Database!D:D,Report!B3,Database!B:B,Report!A33,Database!C:C,Report!H1)</f>
        <v>0</v>
      </c>
      <c r="E33" s="28">
        <f>SUMIFS(Database!E:E,Database!D:D,Report!C3,Database!B:B,Report!A33,Database!C:C,Report!H1)</f>
        <v>0</v>
      </c>
      <c r="F33" s="29">
        <f>SUMIFS(Database!F:F,Database!D:D,Report!B3,Database!B:B,Report!A33,Database!C:C,Report!H1)</f>
        <v>0</v>
      </c>
      <c r="G33" s="28">
        <f>SUMIFS(Database!F:F,Database!D:D,Report!C3,Database!B:B,Report!A33,Database!C:C,Report!H1)</f>
        <v>0</v>
      </c>
      <c r="H33" s="29">
        <f t="shared" si="2"/>
        <v>0</v>
      </c>
      <c r="I33" s="28">
        <f t="shared" si="3"/>
        <v>0</v>
      </c>
    </row>
    <row r="34" spans="1:11" ht="12.75" customHeight="1" thickBot="1" x14ac:dyDescent="0.3">
      <c r="A34" s="13">
        <f t="shared" si="1"/>
        <v>45016</v>
      </c>
      <c r="B34" s="31">
        <f>SUMIFS(Database!G:G,Database!D:D,Report!B3,Database!B:B,Report!A34,Database!C:C,Report!H1)</f>
        <v>0</v>
      </c>
      <c r="C34" s="32">
        <f>SUMIFS(Database!G:G,Database!D:D,Report!C3,Database!B:B,Report!A34,Database!C:C,Report!H1)</f>
        <v>0</v>
      </c>
      <c r="D34" s="33">
        <f>SUMIFS(Database!E:E,Database!D:D,Report!B3,Database!B:B,Report!A34,Database!C:C,Report!H1)</f>
        <v>0</v>
      </c>
      <c r="E34" s="34">
        <f>SUMIFS(Database!E:E,Database!D:D,Report!C3,Database!B:B,Report!A34,Database!C:C,Report!H1)</f>
        <v>0</v>
      </c>
      <c r="F34" s="33">
        <f>SUMIFS(Database!F:F,Database!D:D,Report!B3,Database!B:B,Report!A34,Database!C:C,Report!H1)</f>
        <v>0</v>
      </c>
      <c r="G34" s="34">
        <f>SUMIFS(Database!F:F,Database!D:D,Report!C3,Database!B:B,Report!A34,Database!C:C,Report!H1)</f>
        <v>0</v>
      </c>
      <c r="H34" s="29">
        <f t="shared" si="2"/>
        <v>0</v>
      </c>
      <c r="I34" s="28">
        <f t="shared" si="3"/>
        <v>0</v>
      </c>
    </row>
    <row r="35" spans="1:11" ht="15.75" customHeight="1" thickTop="1" thickBot="1" x14ac:dyDescent="0.3">
      <c r="A35" s="12" t="s">
        <v>6</v>
      </c>
      <c r="B35" s="35">
        <f>SUM(B4:B34)</f>
        <v>0</v>
      </c>
      <c r="C35" s="35">
        <f t="shared" ref="C35:I35" si="4">SUM(C4:C34)</f>
        <v>0</v>
      </c>
      <c r="D35" s="35">
        <f t="shared" si="4"/>
        <v>0</v>
      </c>
      <c r="E35" s="35">
        <f t="shared" si="4"/>
        <v>0</v>
      </c>
      <c r="F35" s="35">
        <f t="shared" si="4"/>
        <v>0</v>
      </c>
      <c r="G35" s="35">
        <f t="shared" si="4"/>
        <v>0</v>
      </c>
      <c r="H35" s="35">
        <f t="shared" si="4"/>
        <v>0</v>
      </c>
      <c r="I35" s="35">
        <f t="shared" si="4"/>
        <v>0</v>
      </c>
      <c r="K35" s="18"/>
    </row>
    <row r="36" spans="1:11" ht="15.75" thickTop="1" x14ac:dyDescent="0.25">
      <c r="A36" s="38"/>
      <c r="B36" s="36"/>
      <c r="C36" s="36"/>
      <c r="D36" s="36"/>
      <c r="E36" s="36"/>
      <c r="F36" s="36"/>
      <c r="G36" s="36"/>
      <c r="H36" s="36"/>
      <c r="I36" s="36"/>
    </row>
    <row r="37" spans="1:11" ht="15.75" x14ac:dyDescent="0.3">
      <c r="A37" s="38"/>
      <c r="B37" s="36"/>
      <c r="C37" s="36"/>
      <c r="D37" s="36"/>
      <c r="E37" s="36"/>
      <c r="F37" s="45"/>
      <c r="G37" s="45"/>
      <c r="H37" s="46"/>
      <c r="I37" s="47"/>
    </row>
    <row r="38" spans="1:11" ht="16.5" x14ac:dyDescent="0.3">
      <c r="A38" s="42" t="s">
        <v>20</v>
      </c>
      <c r="B38" s="42"/>
      <c r="C38" s="42"/>
      <c r="D38" s="36"/>
      <c r="E38" s="36"/>
      <c r="F38" s="42" t="s">
        <v>21</v>
      </c>
      <c r="G38" s="42"/>
      <c r="H38" s="42"/>
      <c r="I38" s="42"/>
    </row>
    <row r="39" spans="1:11" ht="15.75" x14ac:dyDescent="0.3">
      <c r="A39" s="41"/>
      <c r="B39" s="41"/>
      <c r="C39" s="41"/>
      <c r="D39" s="36"/>
      <c r="E39" s="36"/>
      <c r="F39" s="43"/>
      <c r="G39" s="43"/>
      <c r="H39" s="43"/>
      <c r="I39" s="43"/>
    </row>
    <row r="40" spans="1:11" x14ac:dyDescent="0.25">
      <c r="A40" s="3"/>
      <c r="B40" s="36"/>
      <c r="C40" s="36"/>
      <c r="D40" s="36"/>
      <c r="E40" s="36"/>
      <c r="F40" s="36"/>
      <c r="G40" s="36"/>
      <c r="H40" s="36"/>
      <c r="I40" s="36"/>
    </row>
    <row r="41" spans="1:11" x14ac:dyDescent="0.25">
      <c r="A41" s="3"/>
      <c r="B41" s="36"/>
      <c r="C41" s="36"/>
      <c r="D41" s="36"/>
      <c r="E41" s="36"/>
      <c r="F41" s="36"/>
      <c r="G41" s="36"/>
      <c r="H41" s="36"/>
      <c r="I41" s="36"/>
    </row>
    <row r="42" spans="1:11" x14ac:dyDescent="0.25">
      <c r="A42" s="3"/>
      <c r="B42" s="36"/>
      <c r="C42" s="36"/>
      <c r="D42" s="36"/>
      <c r="E42" s="36"/>
      <c r="F42" s="36"/>
      <c r="G42" s="36"/>
      <c r="H42" s="36"/>
      <c r="I42" s="36"/>
    </row>
    <row r="43" spans="1:11" x14ac:dyDescent="0.25">
      <c r="A43" s="3"/>
      <c r="B43" s="36"/>
      <c r="C43" s="36"/>
      <c r="D43" s="36"/>
      <c r="E43" s="36"/>
      <c r="F43" s="36"/>
      <c r="G43" s="36"/>
      <c r="H43" s="36"/>
      <c r="I43" s="36"/>
    </row>
    <row r="44" spans="1:11" x14ac:dyDescent="0.25">
      <c r="A44" s="3"/>
      <c r="B44" s="36"/>
      <c r="C44" s="36"/>
      <c r="D44" s="36"/>
      <c r="E44" s="36"/>
      <c r="F44" s="36"/>
      <c r="G44" s="36"/>
      <c r="H44" s="36"/>
      <c r="I44" s="36"/>
    </row>
    <row r="45" spans="1:11" x14ac:dyDescent="0.25">
      <c r="A45" s="3"/>
      <c r="B45" s="36"/>
      <c r="C45" s="36"/>
      <c r="D45" s="36"/>
      <c r="E45" s="36"/>
      <c r="F45" s="36"/>
      <c r="G45" s="36"/>
      <c r="H45" s="36"/>
      <c r="I45" s="36"/>
    </row>
    <row r="46" spans="1:11" x14ac:dyDescent="0.25">
      <c r="A46" s="3"/>
      <c r="B46" s="36"/>
      <c r="C46" s="36"/>
      <c r="D46" s="36"/>
      <c r="E46" s="36"/>
      <c r="F46" s="36"/>
      <c r="G46" s="36"/>
      <c r="H46" s="36"/>
      <c r="I46" s="36"/>
    </row>
    <row r="47" spans="1:11" x14ac:dyDescent="0.25">
      <c r="A47" s="3"/>
      <c r="B47" s="36"/>
      <c r="C47" s="36"/>
      <c r="D47" s="36"/>
      <c r="E47" s="36"/>
      <c r="F47" s="36"/>
      <c r="G47" s="36"/>
      <c r="H47" s="36"/>
      <c r="I47" s="36"/>
    </row>
    <row r="48" spans="1:11" x14ac:dyDescent="0.25">
      <c r="A48" s="3"/>
      <c r="B48" s="36"/>
      <c r="C48" s="36"/>
      <c r="D48" s="36"/>
      <c r="E48" s="36"/>
      <c r="F48" s="36"/>
      <c r="G48" s="36"/>
      <c r="H48" s="36"/>
      <c r="I48" s="36"/>
    </row>
    <row r="49" spans="1:9" x14ac:dyDescent="0.25">
      <c r="A49" s="3"/>
      <c r="B49" s="36"/>
      <c r="C49" s="36"/>
      <c r="D49" s="36"/>
      <c r="E49" s="36"/>
      <c r="F49" s="36"/>
      <c r="G49" s="36"/>
      <c r="H49" s="36"/>
      <c r="I49" s="36"/>
    </row>
    <row r="50" spans="1:9" x14ac:dyDescent="0.25">
      <c r="A50" s="3"/>
      <c r="B50" s="36"/>
      <c r="C50" s="36"/>
      <c r="D50" s="36"/>
      <c r="E50" s="36"/>
      <c r="F50" s="36"/>
      <c r="G50" s="36"/>
      <c r="H50" s="36"/>
      <c r="I50" s="36"/>
    </row>
    <row r="51" spans="1:9" x14ac:dyDescent="0.25">
      <c r="A51" s="3"/>
      <c r="B51" s="36"/>
      <c r="C51" s="36"/>
      <c r="D51" s="36"/>
      <c r="E51" s="36"/>
      <c r="F51" s="36"/>
      <c r="G51" s="36"/>
      <c r="H51" s="36"/>
      <c r="I51" s="36"/>
    </row>
    <row r="52" spans="1:9" x14ac:dyDescent="0.25">
      <c r="A52" s="3"/>
      <c r="B52" s="36"/>
      <c r="C52" s="36"/>
      <c r="D52" s="36"/>
      <c r="E52" s="36"/>
      <c r="F52" s="36"/>
      <c r="G52" s="36"/>
      <c r="H52" s="36"/>
      <c r="I52" s="36"/>
    </row>
    <row r="53" spans="1:9" x14ac:dyDescent="0.25">
      <c r="A53" s="3"/>
      <c r="B53" s="36"/>
      <c r="C53" s="36"/>
      <c r="D53" s="36"/>
      <c r="E53" s="36"/>
      <c r="F53" s="36"/>
      <c r="G53" s="36"/>
      <c r="H53" s="36"/>
      <c r="I53" s="36"/>
    </row>
    <row r="54" spans="1:9" x14ac:dyDescent="0.25">
      <c r="A54" s="3"/>
      <c r="B54" s="36"/>
      <c r="C54" s="36"/>
      <c r="D54" s="36"/>
      <c r="E54" s="36"/>
      <c r="F54" s="36"/>
      <c r="G54" s="36"/>
      <c r="H54" s="36"/>
      <c r="I54" s="36"/>
    </row>
    <row r="55" spans="1:9" x14ac:dyDescent="0.25">
      <c r="A55" s="3"/>
      <c r="B55" s="36"/>
      <c r="C55" s="36"/>
      <c r="D55" s="36"/>
      <c r="E55" s="36"/>
      <c r="F55" s="36"/>
      <c r="G55" s="36"/>
      <c r="H55" s="36"/>
      <c r="I55" s="36"/>
    </row>
    <row r="56" spans="1:9" x14ac:dyDescent="0.25">
      <c r="A56" s="3"/>
      <c r="B56" s="36"/>
      <c r="C56" s="36"/>
      <c r="D56" s="36"/>
      <c r="E56" s="36"/>
      <c r="F56" s="36"/>
      <c r="G56" s="36"/>
      <c r="H56" s="36"/>
      <c r="I56" s="36"/>
    </row>
    <row r="57" spans="1:9" x14ac:dyDescent="0.25">
      <c r="A57" s="3"/>
      <c r="B57" s="36"/>
      <c r="C57" s="36"/>
      <c r="D57" s="36"/>
      <c r="E57" s="36"/>
      <c r="F57" s="36"/>
      <c r="G57" s="36"/>
      <c r="H57" s="36"/>
      <c r="I57" s="36"/>
    </row>
    <row r="58" spans="1:9" x14ac:dyDescent="0.25">
      <c r="A58" s="3"/>
      <c r="B58" s="36"/>
      <c r="C58" s="36"/>
      <c r="D58" s="36"/>
      <c r="E58" s="36"/>
      <c r="F58" s="36"/>
      <c r="G58" s="36"/>
      <c r="H58" s="36"/>
      <c r="I58" s="36"/>
    </row>
    <row r="59" spans="1:9" x14ac:dyDescent="0.25">
      <c r="A59" s="3"/>
      <c r="B59" s="36"/>
      <c r="C59" s="36"/>
      <c r="D59" s="36"/>
      <c r="E59" s="36"/>
      <c r="F59" s="36"/>
      <c r="G59" s="36"/>
      <c r="H59" s="36"/>
      <c r="I59" s="36"/>
    </row>
    <row r="60" spans="1:9" x14ac:dyDescent="0.25">
      <c r="A60" s="3"/>
      <c r="B60" s="36"/>
      <c r="C60" s="36"/>
      <c r="D60" s="36"/>
      <c r="E60" s="36"/>
      <c r="F60" s="36"/>
      <c r="G60" s="36"/>
      <c r="H60" s="36"/>
      <c r="I60" s="36"/>
    </row>
    <row r="61" spans="1:9" x14ac:dyDescent="0.25">
      <c r="A61" s="3"/>
      <c r="B61" s="36"/>
      <c r="C61" s="36"/>
      <c r="D61" s="36"/>
      <c r="E61" s="36"/>
      <c r="F61" s="36"/>
      <c r="G61" s="36"/>
      <c r="H61" s="36"/>
      <c r="I61" s="36"/>
    </row>
    <row r="62" spans="1:9" x14ac:dyDescent="0.25">
      <c r="A62" s="3"/>
      <c r="B62" s="36"/>
      <c r="C62" s="36"/>
      <c r="D62" s="36"/>
      <c r="E62" s="36"/>
      <c r="F62" s="36"/>
      <c r="G62" s="36"/>
      <c r="H62" s="36"/>
      <c r="I62" s="36"/>
    </row>
    <row r="63" spans="1:9" x14ac:dyDescent="0.25">
      <c r="A63" s="3"/>
      <c r="B63" s="36"/>
      <c r="C63" s="36"/>
      <c r="D63" s="36"/>
      <c r="E63" s="36"/>
      <c r="F63" s="36"/>
      <c r="G63" s="36"/>
      <c r="H63" s="36"/>
      <c r="I63" s="36"/>
    </row>
    <row r="64" spans="1:9" x14ac:dyDescent="0.25">
      <c r="A64" s="3"/>
      <c r="B64" s="36"/>
      <c r="C64" s="36"/>
      <c r="D64" s="36"/>
      <c r="E64" s="36"/>
      <c r="F64" s="36"/>
      <c r="G64" s="36"/>
      <c r="H64" s="36"/>
      <c r="I64" s="36"/>
    </row>
    <row r="65" spans="1:9" x14ac:dyDescent="0.25">
      <c r="A65" s="3"/>
      <c r="B65" s="36"/>
      <c r="C65" s="36"/>
      <c r="D65" s="36"/>
      <c r="E65" s="36"/>
      <c r="F65" s="36"/>
      <c r="G65" s="36"/>
      <c r="H65" s="36"/>
      <c r="I65" s="36"/>
    </row>
    <row r="66" spans="1:9" x14ac:dyDescent="0.25">
      <c r="A66" s="3"/>
      <c r="B66" s="36"/>
      <c r="C66" s="36"/>
      <c r="D66" s="36"/>
      <c r="E66" s="36"/>
      <c r="F66" s="36"/>
      <c r="G66" s="36"/>
      <c r="H66" s="36"/>
      <c r="I66" s="36"/>
    </row>
    <row r="67" spans="1:9" x14ac:dyDescent="0.25">
      <c r="A67" s="3"/>
      <c r="B67" s="36"/>
      <c r="C67" s="36"/>
      <c r="D67" s="36"/>
      <c r="E67" s="36"/>
      <c r="F67" s="36"/>
      <c r="G67" s="36"/>
      <c r="H67" s="36"/>
      <c r="I67" s="36"/>
    </row>
    <row r="68" spans="1:9" x14ac:dyDescent="0.25">
      <c r="A68" s="3"/>
      <c r="B68" s="36"/>
      <c r="C68" s="36"/>
      <c r="D68" s="36"/>
      <c r="E68" s="36"/>
      <c r="F68" s="36"/>
      <c r="G68" s="36"/>
      <c r="H68" s="36"/>
      <c r="I68" s="36"/>
    </row>
    <row r="69" spans="1:9" x14ac:dyDescent="0.25">
      <c r="A69" s="3"/>
      <c r="B69" s="36"/>
      <c r="C69" s="36"/>
      <c r="D69" s="36"/>
      <c r="E69" s="36"/>
      <c r="F69" s="36"/>
      <c r="G69" s="36"/>
      <c r="H69" s="36"/>
      <c r="I69" s="36"/>
    </row>
    <row r="70" spans="1:9" x14ac:dyDescent="0.25">
      <c r="A70" s="3"/>
      <c r="B70" s="36"/>
      <c r="C70" s="36"/>
      <c r="D70" s="36"/>
      <c r="E70" s="36"/>
      <c r="F70" s="36"/>
      <c r="G70" s="36"/>
      <c r="H70" s="36"/>
      <c r="I70" s="36"/>
    </row>
    <row r="71" spans="1:9" x14ac:dyDescent="0.25">
      <c r="A71" s="3"/>
      <c r="B71" s="36"/>
      <c r="C71" s="36"/>
      <c r="D71" s="36"/>
      <c r="E71" s="36"/>
      <c r="F71" s="36"/>
      <c r="G71" s="36"/>
      <c r="H71" s="36"/>
      <c r="I71" s="36"/>
    </row>
    <row r="72" spans="1:9" x14ac:dyDescent="0.25">
      <c r="A72" s="3"/>
      <c r="B72" s="36"/>
      <c r="C72" s="36"/>
      <c r="D72" s="36"/>
      <c r="E72" s="36"/>
      <c r="F72" s="36"/>
      <c r="G72" s="36"/>
      <c r="H72" s="36"/>
      <c r="I72" s="36"/>
    </row>
    <row r="73" spans="1:9" x14ac:dyDescent="0.25">
      <c r="A73" s="3"/>
      <c r="B73" s="36"/>
      <c r="C73" s="36"/>
      <c r="D73" s="36"/>
      <c r="E73" s="36"/>
      <c r="F73" s="36"/>
      <c r="G73" s="36"/>
      <c r="H73" s="36"/>
      <c r="I73" s="36"/>
    </row>
    <row r="74" spans="1:9" x14ac:dyDescent="0.25">
      <c r="A74" s="3"/>
      <c r="B74" s="36"/>
      <c r="C74" s="36"/>
      <c r="D74" s="36"/>
      <c r="E74" s="36"/>
      <c r="F74" s="36"/>
      <c r="G74" s="36"/>
      <c r="H74" s="36"/>
      <c r="I74" s="36"/>
    </row>
    <row r="75" spans="1:9" x14ac:dyDescent="0.25">
      <c r="A75" s="3"/>
      <c r="B75" s="36"/>
      <c r="C75" s="36"/>
      <c r="D75" s="36"/>
      <c r="E75" s="36"/>
      <c r="F75" s="36"/>
      <c r="G75" s="36"/>
      <c r="H75" s="36"/>
      <c r="I75" s="36"/>
    </row>
    <row r="76" spans="1:9" x14ac:dyDescent="0.25">
      <c r="A76" s="3"/>
      <c r="B76" s="36"/>
      <c r="C76" s="36"/>
      <c r="D76" s="36"/>
      <c r="E76" s="36"/>
      <c r="F76" s="36"/>
      <c r="G76" s="36"/>
      <c r="H76" s="36"/>
      <c r="I76" s="36"/>
    </row>
    <row r="77" spans="1:9" x14ac:dyDescent="0.25">
      <c r="A77" s="3"/>
      <c r="B77" s="36"/>
      <c r="C77" s="36"/>
      <c r="D77" s="36"/>
      <c r="E77" s="36"/>
      <c r="F77" s="36"/>
      <c r="G77" s="36"/>
      <c r="H77" s="36"/>
      <c r="I77" s="36"/>
    </row>
    <row r="78" spans="1:9" x14ac:dyDescent="0.25">
      <c r="A78" s="3"/>
      <c r="B78" s="36"/>
      <c r="C78" s="36"/>
      <c r="D78" s="36"/>
      <c r="E78" s="36"/>
      <c r="F78" s="36"/>
      <c r="G78" s="36"/>
      <c r="H78" s="36"/>
      <c r="I78" s="36"/>
    </row>
    <row r="79" spans="1:9" x14ac:dyDescent="0.25">
      <c r="A79" s="3"/>
      <c r="B79" s="36"/>
      <c r="C79" s="36"/>
      <c r="D79" s="36"/>
      <c r="E79" s="36"/>
      <c r="F79" s="36"/>
      <c r="G79" s="36"/>
      <c r="H79" s="36"/>
      <c r="I79" s="36"/>
    </row>
    <row r="80" spans="1:9" x14ac:dyDescent="0.25">
      <c r="A80" s="3"/>
      <c r="B80" s="36"/>
      <c r="C80" s="36"/>
      <c r="D80" s="36"/>
      <c r="E80" s="36"/>
      <c r="F80" s="36"/>
      <c r="G80" s="36"/>
      <c r="H80" s="36"/>
      <c r="I80" s="36"/>
    </row>
    <row r="81" spans="1:9" x14ac:dyDescent="0.25">
      <c r="A81" s="3"/>
      <c r="B81" s="36"/>
      <c r="C81" s="36"/>
      <c r="D81" s="36"/>
      <c r="E81" s="36"/>
      <c r="F81" s="36"/>
      <c r="G81" s="36"/>
      <c r="H81" s="36"/>
      <c r="I81" s="36"/>
    </row>
    <row r="82" spans="1:9" x14ac:dyDescent="0.25">
      <c r="A82" s="3"/>
      <c r="B82" s="36"/>
      <c r="C82" s="36"/>
      <c r="D82" s="36"/>
      <c r="E82" s="36"/>
      <c r="F82" s="36"/>
      <c r="G82" s="36"/>
      <c r="H82" s="36"/>
      <c r="I82" s="36"/>
    </row>
    <row r="83" spans="1:9" x14ac:dyDescent="0.25">
      <c r="A83" s="3"/>
      <c r="B83" s="36"/>
      <c r="C83" s="36"/>
      <c r="D83" s="36"/>
      <c r="E83" s="36"/>
      <c r="F83" s="36"/>
      <c r="G83" s="36"/>
      <c r="H83" s="36"/>
      <c r="I83" s="36"/>
    </row>
    <row r="84" spans="1:9" x14ac:dyDescent="0.25">
      <c r="A84" s="3"/>
      <c r="B84" s="36"/>
      <c r="C84" s="36"/>
      <c r="D84" s="36"/>
      <c r="E84" s="36"/>
      <c r="F84" s="36"/>
      <c r="G84" s="36"/>
      <c r="H84" s="36"/>
      <c r="I84" s="36"/>
    </row>
    <row r="85" spans="1:9" x14ac:dyDescent="0.25">
      <c r="A85" s="3"/>
      <c r="B85" s="36"/>
      <c r="C85" s="36"/>
      <c r="D85" s="36"/>
      <c r="E85" s="36"/>
      <c r="F85" s="36"/>
      <c r="G85" s="36"/>
      <c r="H85" s="36"/>
      <c r="I85" s="36"/>
    </row>
    <row r="86" spans="1:9" x14ac:dyDescent="0.25">
      <c r="A86" s="3"/>
      <c r="B86" s="36"/>
      <c r="C86" s="36"/>
      <c r="D86" s="36"/>
      <c r="E86" s="36"/>
      <c r="F86" s="36"/>
      <c r="G86" s="36"/>
      <c r="H86" s="36"/>
      <c r="I86" s="36"/>
    </row>
    <row r="87" spans="1:9" x14ac:dyDescent="0.25">
      <c r="A87" s="3"/>
      <c r="B87" s="36"/>
      <c r="C87" s="36"/>
      <c r="D87" s="36"/>
      <c r="E87" s="36"/>
      <c r="F87" s="36"/>
      <c r="G87" s="36"/>
      <c r="H87" s="36"/>
      <c r="I87" s="36"/>
    </row>
    <row r="88" spans="1:9" x14ac:dyDescent="0.25">
      <c r="A88" s="3"/>
      <c r="B88" s="36"/>
      <c r="C88" s="36"/>
      <c r="D88" s="36"/>
      <c r="E88" s="36"/>
      <c r="F88" s="36"/>
      <c r="G88" s="36"/>
      <c r="H88" s="36"/>
      <c r="I88" s="36"/>
    </row>
    <row r="89" spans="1:9" x14ac:dyDescent="0.25">
      <c r="A89" s="3"/>
      <c r="B89" s="36"/>
      <c r="C89" s="36"/>
      <c r="D89" s="36"/>
      <c r="E89" s="36"/>
      <c r="F89" s="36"/>
      <c r="G89" s="36"/>
      <c r="H89" s="36"/>
      <c r="I89" s="36"/>
    </row>
    <row r="90" spans="1:9" x14ac:dyDescent="0.25">
      <c r="A90" s="3"/>
      <c r="B90" s="36"/>
      <c r="C90" s="36"/>
      <c r="D90" s="36"/>
      <c r="E90" s="36"/>
      <c r="F90" s="36"/>
      <c r="G90" s="36"/>
      <c r="H90" s="36"/>
      <c r="I90" s="36"/>
    </row>
    <row r="91" spans="1:9" x14ac:dyDescent="0.25">
      <c r="A91" s="3"/>
      <c r="B91" s="36"/>
      <c r="C91" s="36"/>
      <c r="D91" s="36"/>
      <c r="E91" s="36"/>
      <c r="F91" s="36"/>
      <c r="G91" s="36"/>
      <c r="H91" s="36"/>
      <c r="I91" s="36"/>
    </row>
    <row r="92" spans="1:9" x14ac:dyDescent="0.25">
      <c r="A92" s="3"/>
      <c r="B92" s="36"/>
      <c r="C92" s="36"/>
      <c r="D92" s="36"/>
      <c r="E92" s="36"/>
      <c r="F92" s="36"/>
      <c r="G92" s="36"/>
      <c r="H92" s="36"/>
      <c r="I92" s="36"/>
    </row>
    <row r="93" spans="1:9" x14ac:dyDescent="0.25">
      <c r="A93" s="3"/>
      <c r="B93" s="36"/>
      <c r="C93" s="36"/>
      <c r="D93" s="36"/>
      <c r="E93" s="36"/>
      <c r="F93" s="36"/>
      <c r="G93" s="36"/>
      <c r="H93" s="36"/>
      <c r="I93" s="36"/>
    </row>
    <row r="94" spans="1:9" x14ac:dyDescent="0.25">
      <c r="A94" s="3"/>
      <c r="B94" s="36"/>
      <c r="C94" s="36"/>
      <c r="D94" s="36"/>
      <c r="E94" s="36"/>
      <c r="F94" s="36"/>
      <c r="G94" s="36"/>
      <c r="H94" s="36"/>
      <c r="I94" s="36"/>
    </row>
    <row r="95" spans="1:9" x14ac:dyDescent="0.25">
      <c r="A95" s="3"/>
      <c r="B95" s="36"/>
      <c r="C95" s="36"/>
      <c r="D95" s="36"/>
      <c r="E95" s="36"/>
      <c r="F95" s="36"/>
      <c r="G95" s="36"/>
      <c r="H95" s="36"/>
      <c r="I95" s="36"/>
    </row>
    <row r="96" spans="1:9" x14ac:dyDescent="0.25">
      <c r="A96" s="3"/>
      <c r="B96" s="36"/>
      <c r="C96" s="36"/>
      <c r="D96" s="36"/>
      <c r="E96" s="36"/>
      <c r="F96" s="36"/>
      <c r="G96" s="36"/>
      <c r="H96" s="36"/>
      <c r="I96" s="36"/>
    </row>
    <row r="97" spans="1:9" x14ac:dyDescent="0.25">
      <c r="A97" s="3"/>
      <c r="B97" s="36"/>
      <c r="C97" s="36"/>
      <c r="D97" s="36"/>
      <c r="E97" s="36"/>
      <c r="F97" s="36"/>
      <c r="G97" s="36"/>
      <c r="H97" s="36"/>
      <c r="I97" s="36"/>
    </row>
    <row r="98" spans="1:9" x14ac:dyDescent="0.25">
      <c r="A98" s="3"/>
      <c r="B98" s="36"/>
      <c r="C98" s="36"/>
      <c r="D98" s="36"/>
      <c r="E98" s="36"/>
      <c r="F98" s="36"/>
      <c r="G98" s="36"/>
      <c r="H98" s="36"/>
      <c r="I98" s="36"/>
    </row>
    <row r="99" spans="1:9" x14ac:dyDescent="0.25">
      <c r="A99" s="3"/>
      <c r="B99" s="36"/>
      <c r="C99" s="36"/>
      <c r="D99" s="36"/>
      <c r="E99" s="36"/>
      <c r="F99" s="36"/>
      <c r="G99" s="36"/>
      <c r="H99" s="36"/>
      <c r="I99" s="36"/>
    </row>
    <row r="100" spans="1:9" x14ac:dyDescent="0.25">
      <c r="A100" s="3"/>
      <c r="B100" s="36"/>
      <c r="C100" s="36"/>
      <c r="D100" s="36"/>
      <c r="E100" s="36"/>
      <c r="F100" s="36"/>
      <c r="G100" s="36"/>
      <c r="H100" s="36"/>
      <c r="I100" s="36"/>
    </row>
    <row r="101" spans="1:9" x14ac:dyDescent="0.25">
      <c r="A101" s="3"/>
      <c r="B101" s="36"/>
      <c r="C101" s="36"/>
      <c r="D101" s="36"/>
      <c r="E101" s="36"/>
      <c r="F101" s="36"/>
      <c r="G101" s="36"/>
      <c r="H101" s="36"/>
      <c r="I101" s="36"/>
    </row>
    <row r="102" spans="1:9" x14ac:dyDescent="0.25">
      <c r="A102" s="3"/>
      <c r="B102" s="36"/>
      <c r="C102" s="36"/>
      <c r="D102" s="36"/>
      <c r="E102" s="36"/>
      <c r="F102" s="36"/>
      <c r="G102" s="36"/>
      <c r="H102" s="36"/>
      <c r="I102" s="36"/>
    </row>
    <row r="103" spans="1:9" x14ac:dyDescent="0.25">
      <c r="A103" s="3"/>
      <c r="B103" s="36"/>
      <c r="C103" s="36"/>
      <c r="D103" s="36"/>
      <c r="E103" s="36"/>
      <c r="F103" s="36"/>
      <c r="G103" s="36"/>
      <c r="H103" s="36"/>
      <c r="I103" s="36"/>
    </row>
    <row r="104" spans="1:9" x14ac:dyDescent="0.25">
      <c r="A104" s="3"/>
      <c r="B104" s="36"/>
      <c r="C104" s="36"/>
      <c r="D104" s="36"/>
      <c r="E104" s="36"/>
      <c r="F104" s="36"/>
      <c r="G104" s="36"/>
      <c r="H104" s="36"/>
      <c r="I104" s="36"/>
    </row>
    <row r="105" spans="1:9" x14ac:dyDescent="0.25">
      <c r="A105" s="3"/>
      <c r="B105" s="36"/>
      <c r="C105" s="36"/>
      <c r="D105" s="36"/>
      <c r="E105" s="36"/>
      <c r="F105" s="36"/>
      <c r="G105" s="36"/>
      <c r="H105" s="36"/>
      <c r="I105" s="36"/>
    </row>
  </sheetData>
  <mergeCells count="16">
    <mergeCell ref="J7:K7"/>
    <mergeCell ref="H2:I2"/>
    <mergeCell ref="H1:I1"/>
    <mergeCell ref="E1:G1"/>
    <mergeCell ref="J8:K8"/>
    <mergeCell ref="D2:E2"/>
    <mergeCell ref="F2:G2"/>
    <mergeCell ref="A39:C39"/>
    <mergeCell ref="F38:I38"/>
    <mergeCell ref="F39:I39"/>
    <mergeCell ref="A1:D1"/>
    <mergeCell ref="F37:G37"/>
    <mergeCell ref="H37:I37"/>
    <mergeCell ref="B2:C2"/>
    <mergeCell ref="A2:A3"/>
    <mergeCell ref="A38:C38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Y34"/>
  <sheetViews>
    <sheetView showGridLines="0" workbookViewId="0">
      <selection activeCell="AF20" sqref="AF20"/>
    </sheetView>
  </sheetViews>
  <sheetFormatPr defaultRowHeight="15" x14ac:dyDescent="0.25"/>
  <sheetData>
    <row r="1" spans="1:51" x14ac:dyDescent="0.25">
      <c r="B1" s="6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39"/>
      <c r="AF1" s="39"/>
      <c r="AG1" s="39"/>
      <c r="AH1" s="39"/>
      <c r="AI1" s="39"/>
      <c r="AJ1" s="39"/>
      <c r="AK1" s="39"/>
      <c r="AL1" s="39"/>
      <c r="AM1" s="39"/>
    </row>
    <row r="2" spans="1:51" x14ac:dyDescent="0.25"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39"/>
      <c r="AC2" s="7"/>
      <c r="AD2" s="7"/>
      <c r="AE2" s="39"/>
      <c r="AF2" s="39"/>
      <c r="AG2" s="39"/>
      <c r="AH2" s="39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</row>
    <row r="3" spans="1:51" x14ac:dyDescent="0.25"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39"/>
      <c r="AC3" s="7"/>
      <c r="AD3" s="7"/>
      <c r="AE3" s="39"/>
      <c r="AF3" s="39"/>
      <c r="AG3" s="39"/>
      <c r="AH3" s="39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</row>
    <row r="4" spans="1:51" x14ac:dyDescent="0.25"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39"/>
      <c r="AC4" s="7"/>
      <c r="AD4" s="7"/>
      <c r="AE4" s="39"/>
      <c r="AF4" s="39"/>
      <c r="AG4" s="39"/>
      <c r="AH4" s="39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</row>
    <row r="5" spans="1:51" x14ac:dyDescent="0.25"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39"/>
      <c r="AC5" s="7"/>
      <c r="AD5" s="7"/>
      <c r="AE5" s="39"/>
      <c r="AF5" s="39"/>
      <c r="AG5" s="39"/>
      <c r="AH5" s="39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</row>
    <row r="6" spans="1:51" x14ac:dyDescent="0.25"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39"/>
      <c r="AC6" s="7"/>
      <c r="AD6" s="7"/>
      <c r="AE6" s="39"/>
      <c r="AF6" s="39"/>
      <c r="AG6" s="39"/>
      <c r="AH6" s="39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</row>
    <row r="7" spans="1:51" x14ac:dyDescent="0.25">
      <c r="A7" s="1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39"/>
      <c r="AF7" s="39"/>
      <c r="AG7" s="39"/>
      <c r="AH7" s="39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</row>
    <row r="8" spans="1:51" x14ac:dyDescent="0.25"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39"/>
      <c r="AF8" s="39"/>
      <c r="AG8" s="39"/>
      <c r="AH8" s="39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</row>
    <row r="9" spans="1:51" x14ac:dyDescent="0.25"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39"/>
      <c r="AF9" s="39"/>
      <c r="AG9" s="39"/>
      <c r="AH9" s="39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</row>
    <row r="10" spans="1:51" x14ac:dyDescent="0.25"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39"/>
      <c r="AF10" s="39"/>
      <c r="AG10" s="39"/>
      <c r="AH10" s="39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</row>
    <row r="11" spans="1:51" x14ac:dyDescent="0.25"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39"/>
      <c r="AF11" s="39"/>
      <c r="AG11" s="39"/>
      <c r="AH11" s="39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</row>
    <row r="12" spans="1:51" x14ac:dyDescent="0.25"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39"/>
      <c r="AF12" s="39"/>
      <c r="AG12" s="39"/>
      <c r="AH12" s="39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</row>
    <row r="13" spans="1:51" x14ac:dyDescent="0.25"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39"/>
      <c r="AF13" s="39"/>
      <c r="AG13" s="39"/>
      <c r="AH13" s="39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</row>
    <row r="14" spans="1:51" x14ac:dyDescent="0.25"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39"/>
      <c r="AF14" s="39"/>
      <c r="AG14" s="39"/>
      <c r="AH14" s="39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</row>
    <row r="15" spans="1:51" x14ac:dyDescent="0.25"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39"/>
      <c r="AF15" s="39"/>
      <c r="AG15" s="39"/>
      <c r="AH15" s="39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</row>
    <row r="16" spans="1:51" x14ac:dyDescent="0.25"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39"/>
      <c r="AF16" s="39"/>
      <c r="AG16" s="39"/>
      <c r="AH16" s="39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</row>
    <row r="17" spans="16:51" x14ac:dyDescent="0.25"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39"/>
      <c r="AF17" s="39"/>
      <c r="AG17" s="39"/>
      <c r="AH17" s="39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</row>
    <row r="18" spans="16:51" x14ac:dyDescent="0.25"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39"/>
      <c r="AF18" s="39"/>
      <c r="AG18" s="39"/>
      <c r="AH18" s="39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</row>
    <row r="19" spans="16:51" x14ac:dyDescent="0.25"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39"/>
      <c r="AF19" s="39"/>
      <c r="AG19" s="39"/>
      <c r="AH19" s="39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</row>
    <row r="20" spans="16:51" x14ac:dyDescent="0.25"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39"/>
      <c r="AF20" s="39"/>
      <c r="AG20" s="39"/>
      <c r="AH20" s="39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</row>
    <row r="21" spans="16:51" x14ac:dyDescent="0.25"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39"/>
      <c r="AF21" s="39"/>
      <c r="AG21" s="39"/>
      <c r="AH21" s="39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</row>
    <row r="22" spans="16:51" x14ac:dyDescent="0.25"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39"/>
      <c r="AF22" s="39"/>
      <c r="AG22" s="39"/>
      <c r="AH22" s="39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</row>
    <row r="23" spans="16:51" x14ac:dyDescent="0.25">
      <c r="P23" s="7"/>
      <c r="Q23" s="7"/>
      <c r="R23" s="7"/>
      <c r="S23" s="7"/>
      <c r="T23" s="7"/>
      <c r="U23" s="7"/>
      <c r="V23" s="7"/>
      <c r="W23" s="7"/>
      <c r="X23" s="7"/>
      <c r="Y23" s="8"/>
      <c r="Z23" s="7"/>
      <c r="AA23" s="7"/>
      <c r="AB23" s="7"/>
      <c r="AC23" s="7"/>
      <c r="AD23" s="7"/>
      <c r="AE23" s="39"/>
      <c r="AF23" s="39"/>
      <c r="AG23" s="39"/>
      <c r="AH23" s="39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</row>
    <row r="24" spans="16:51" x14ac:dyDescent="0.25">
      <c r="P24" s="7"/>
      <c r="Q24" s="7"/>
      <c r="R24" s="7"/>
      <c r="S24" s="7"/>
      <c r="T24" s="7"/>
      <c r="U24" s="7"/>
      <c r="V24" s="7"/>
      <c r="W24" s="7"/>
      <c r="X24" s="7"/>
      <c r="Y24" s="8"/>
      <c r="Z24" s="7"/>
      <c r="AA24" s="7"/>
      <c r="AB24" s="7"/>
      <c r="AC24" s="7"/>
      <c r="AD24" s="7"/>
      <c r="AE24" s="39"/>
      <c r="AF24" s="39"/>
      <c r="AG24" s="39"/>
      <c r="AH24" s="39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</row>
    <row r="25" spans="16:51" x14ac:dyDescent="0.25">
      <c r="P25" s="7"/>
      <c r="Q25" s="7"/>
      <c r="R25" s="7"/>
      <c r="S25" s="7"/>
      <c r="T25" s="7"/>
      <c r="U25" s="7"/>
      <c r="V25" s="7"/>
      <c r="W25" s="7"/>
      <c r="X25" s="7"/>
      <c r="Y25" s="8"/>
      <c r="Z25" s="7"/>
      <c r="AA25" s="7"/>
      <c r="AB25" s="7"/>
      <c r="AC25" s="7"/>
      <c r="AD25" s="7"/>
      <c r="AE25" s="39"/>
      <c r="AF25" s="39"/>
      <c r="AG25" s="39"/>
      <c r="AH25" s="39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</row>
    <row r="26" spans="16:51" x14ac:dyDescent="0.25"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39"/>
      <c r="AF26" s="39"/>
      <c r="AG26" s="39"/>
      <c r="AH26" s="39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</row>
    <row r="27" spans="16:51" x14ac:dyDescent="0.25"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39"/>
      <c r="AF27" s="39"/>
      <c r="AG27" s="39"/>
      <c r="AH27" s="39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</row>
    <row r="28" spans="16:51" x14ac:dyDescent="0.25"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</row>
    <row r="29" spans="16:51" x14ac:dyDescent="0.25">
      <c r="P29" s="7"/>
      <c r="Q29" s="7"/>
      <c r="AD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</row>
    <row r="30" spans="16:51" x14ac:dyDescent="0.25">
      <c r="P30" s="7"/>
      <c r="AD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</row>
    <row r="31" spans="16:51" x14ac:dyDescent="0.25">
      <c r="P31" s="7"/>
      <c r="AD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</row>
    <row r="32" spans="16:51" x14ac:dyDescent="0.25">
      <c r="P32" s="7"/>
      <c r="AC32" s="7"/>
      <c r="AD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</row>
    <row r="33" spans="16:51" x14ac:dyDescent="0.25"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</row>
    <row r="34" spans="16:51" x14ac:dyDescent="0.25"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</row>
  </sheetData>
  <sortState xmlns:xlrd2="http://schemas.microsoft.com/office/spreadsheetml/2017/richdata2" ref="A2:AA27">
    <sortCondition descending="1" ref="A1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4"/>
  <sheetViews>
    <sheetView workbookViewId="0"/>
  </sheetViews>
  <sheetFormatPr defaultRowHeight="15" x14ac:dyDescent="0.25"/>
  <sheetData>
    <row r="1" spans="1:3" x14ac:dyDescent="0.25">
      <c r="A1" s="16" t="s">
        <v>2</v>
      </c>
      <c r="B1" s="40" t="s">
        <v>18</v>
      </c>
      <c r="C1" s="20" t="s">
        <v>22</v>
      </c>
    </row>
    <row r="2" spans="1:3" x14ac:dyDescent="0.25">
      <c r="A2" s="17" t="s">
        <v>25</v>
      </c>
      <c r="B2" s="40">
        <v>2887</v>
      </c>
      <c r="C2" s="20">
        <v>0.66094322344322343</v>
      </c>
    </row>
    <row r="3" spans="1:3" x14ac:dyDescent="0.25">
      <c r="A3" s="17" t="s">
        <v>23</v>
      </c>
      <c r="B3" s="40">
        <v>757</v>
      </c>
      <c r="C3" s="20">
        <v>0.1733058608058608</v>
      </c>
    </row>
    <row r="4" spans="1:3" x14ac:dyDescent="0.25">
      <c r="A4" s="17" t="s">
        <v>26</v>
      </c>
      <c r="B4" s="40">
        <v>724</v>
      </c>
      <c r="C4" s="20">
        <v>0.16575091575091574</v>
      </c>
    </row>
  </sheetData>
  <sortState xmlns:xlrd2="http://schemas.microsoft.com/office/spreadsheetml/2017/richdata2" ref="A2:C4">
    <sortCondition descending="1" ref="C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1"/>
  <sheetViews>
    <sheetView showGridLines="0" tabSelected="1" workbookViewId="0">
      <selection activeCell="C26" sqref="C26"/>
    </sheetView>
  </sheetViews>
  <sheetFormatPr defaultRowHeight="15" x14ac:dyDescent="0.25"/>
  <cols>
    <col min="1" max="1" width="19.28515625" style="17" customWidth="1"/>
    <col min="2" max="3" width="15.5703125" style="15" customWidth="1"/>
  </cols>
  <sheetData>
    <row r="1" spans="1:6" x14ac:dyDescent="0.25">
      <c r="A1" s="16" t="s">
        <v>15</v>
      </c>
      <c r="B1" s="14" t="s">
        <v>16</v>
      </c>
      <c r="C1" s="14" t="s">
        <v>17</v>
      </c>
    </row>
    <row r="2" spans="1:6" x14ac:dyDescent="0.25">
      <c r="A2" s="17" t="s">
        <v>23</v>
      </c>
      <c r="B2" s="15">
        <v>99999</v>
      </c>
      <c r="C2" s="15" t="s">
        <v>24</v>
      </c>
    </row>
    <row r="3" spans="1:6" x14ac:dyDescent="0.25">
      <c r="A3" s="17" t="s">
        <v>25</v>
      </c>
      <c r="B3" s="15">
        <v>95958585</v>
      </c>
      <c r="C3" s="15" t="s">
        <v>24</v>
      </c>
    </row>
    <row r="4" spans="1:6" x14ac:dyDescent="0.25">
      <c r="A4" s="17" t="s">
        <v>26</v>
      </c>
      <c r="B4" s="15">
        <v>345555</v>
      </c>
      <c r="C4" s="15" t="s">
        <v>27</v>
      </c>
    </row>
    <row r="9" spans="1:6" x14ac:dyDescent="0.25">
      <c r="F9" s="20"/>
    </row>
    <row r="10" spans="1:6" x14ac:dyDescent="0.25">
      <c r="F10" s="20"/>
    </row>
    <row r="11" spans="1:6" x14ac:dyDescent="0.25">
      <c r="F11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</vt:lpstr>
      <vt:lpstr>Leader_Board</vt:lpstr>
      <vt:lpstr>ddataaa</vt:lpstr>
      <vt:lpstr>Report</vt:lpstr>
      <vt:lpstr>sheet</vt:lpstr>
      <vt:lpstr>Show</vt:lpstr>
      <vt:lpstr>Staff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wisdom</cp:lastModifiedBy>
  <cp:lastPrinted>2023-03-01T17:54:45Z</cp:lastPrinted>
  <dcterms:created xsi:type="dcterms:W3CDTF">2023-01-21T09:28:36Z</dcterms:created>
  <dcterms:modified xsi:type="dcterms:W3CDTF">2023-07-04T20:49:44Z</dcterms:modified>
</cp:coreProperties>
</file>